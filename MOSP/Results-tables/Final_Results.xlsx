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sical Benchmark" sheetId="1" r:id="rId4"/>
    <sheet state="visible" name="Frinhani et al. (2018)" sheetId="2" r:id="rId5"/>
  </sheets>
  <definedNames/>
  <calcPr/>
</workbook>
</file>

<file path=xl/sharedStrings.xml><?xml version="1.0" encoding="utf-8"?>
<sst xmlns="http://schemas.openxmlformats.org/spreadsheetml/2006/main" count="427" uniqueCount="160">
  <si>
    <t>OPT</t>
  </si>
  <si>
    <t>PieceRank</t>
  </si>
  <si>
    <t>PT-MOSP</t>
  </si>
  <si>
    <t>set</t>
  </si>
  <si>
    <t>subset</t>
  </si>
  <si>
    <t>Sol.</t>
  </si>
  <si>
    <t>Time(ms)</t>
  </si>
  <si>
    <t>S*</t>
  </si>
  <si>
    <t>S</t>
  </si>
  <si>
    <t>S_0</t>
  </si>
  <si>
    <t>Standard Deviation</t>
  </si>
  <si>
    <t>gap S*OPT(%)</t>
  </si>
  <si>
    <t>gap S*PieceRank (%)</t>
  </si>
  <si>
    <t>gap S (%)</t>
  </si>
  <si>
    <t>gap S_0, S (%)</t>
  </si>
  <si>
    <t>Challenge</t>
  </si>
  <si>
    <t>NWRS1</t>
  </si>
  <si>
    <t>NWRS2</t>
  </si>
  <si>
    <t>Shaw</t>
  </si>
  <si>
    <t>NWRS3</t>
  </si>
  <si>
    <t>NWRS4</t>
  </si>
  <si>
    <t>SP1</t>
  </si>
  <si>
    <t>NWRS5</t>
  </si>
  <si>
    <t>NWRS6</t>
  </si>
  <si>
    <t>Miller</t>
  </si>
  <si>
    <t>GP1</t>
  </si>
  <si>
    <t>GP2</t>
  </si>
  <si>
    <t>GP3</t>
  </si>
  <si>
    <t>GP4</t>
  </si>
  <si>
    <t>SP2</t>
  </si>
  <si>
    <t>NWRS7</t>
  </si>
  <si>
    <t>NWRS8</t>
  </si>
  <si>
    <t>SP3</t>
  </si>
  <si>
    <t>GP5</t>
  </si>
  <si>
    <t>GP6</t>
  </si>
  <si>
    <t>GP7</t>
  </si>
  <si>
    <t>GP8</t>
  </si>
  <si>
    <t>SP4</t>
  </si>
  <si>
    <t xml:space="preserve">MÉDIA GERAL </t>
  </si>
  <si>
    <t>SCOOP</t>
  </si>
  <si>
    <t>B_CARLET_137</t>
  </si>
  <si>
    <t>B_22X18_50</t>
  </si>
  <si>
    <t>B_39Q18_82</t>
  </si>
  <si>
    <t>B_18AB1_32</t>
  </si>
  <si>
    <t>B_42F22_93</t>
  </si>
  <si>
    <t>B_18CR1_33</t>
  </si>
  <si>
    <t>A_AP-9.d_10</t>
  </si>
  <si>
    <t>A_AP-9.d_3</t>
  </si>
  <si>
    <t>B_12F18_11</t>
  </si>
  <si>
    <t>B_GTM18A_139</t>
  </si>
  <si>
    <t>A_AP-9.d_11</t>
  </si>
  <si>
    <t>B_23B25_52</t>
  </si>
  <si>
    <t>B_12M18_12</t>
  </si>
  <si>
    <t>A_AP-9.d_6</t>
  </si>
  <si>
    <t>B_CUC28A_138</t>
  </si>
  <si>
    <t>B_REVAL_145</t>
  </si>
  <si>
    <t>A_FA+AA-_15</t>
  </si>
  <si>
    <t>A_FA+AA-_2</t>
  </si>
  <si>
    <t>A_FA+AA-_12</t>
  </si>
  <si>
    <t>A_FA+AA-_6</t>
  </si>
  <si>
    <t>A_FA+AA-_8</t>
  </si>
  <si>
    <t>A_FA+AA-_11</t>
  </si>
  <si>
    <t>A_FA+AA-_1</t>
  </si>
  <si>
    <t>A_FA+AA-_13</t>
  </si>
  <si>
    <t>Faggioli_Bentivoglio</t>
  </si>
  <si>
    <t>p1010</t>
  </si>
  <si>
    <t>p1020</t>
  </si>
  <si>
    <t>p1030</t>
  </si>
  <si>
    <t>p1040</t>
  </si>
  <si>
    <t>p1050</t>
  </si>
  <si>
    <t>p1510</t>
  </si>
  <si>
    <t>p1520</t>
  </si>
  <si>
    <t>p1530</t>
  </si>
  <si>
    <t>p1540</t>
  </si>
  <si>
    <t>p1550</t>
  </si>
  <si>
    <t>p2010</t>
  </si>
  <si>
    <t>p2020</t>
  </si>
  <si>
    <t>p2030</t>
  </si>
  <si>
    <t>p2040</t>
  </si>
  <si>
    <t>p2050</t>
  </si>
  <si>
    <t>p2510</t>
  </si>
  <si>
    <t>p2520</t>
  </si>
  <si>
    <t>p2530</t>
  </si>
  <si>
    <t>p2540</t>
  </si>
  <si>
    <t>p2550</t>
  </si>
  <si>
    <t>p3010</t>
  </si>
  <si>
    <t>p3020</t>
  </si>
  <si>
    <t>p3030</t>
  </si>
  <si>
    <t>p3040</t>
  </si>
  <si>
    <t>p3050</t>
  </si>
  <si>
    <t>p4010</t>
  </si>
  <si>
    <t>p4020</t>
  </si>
  <si>
    <t>p4030</t>
  </si>
  <si>
    <t>p4040</t>
  </si>
  <si>
    <t>p4050</t>
  </si>
  <si>
    <t>Chu_Stuckey</t>
  </si>
  <si>
    <t>Random-30-30-2</t>
  </si>
  <si>
    <t>Random-30-30-4</t>
  </si>
  <si>
    <t>Random-30-30-6</t>
  </si>
  <si>
    <t>Random-30-30-8</t>
  </si>
  <si>
    <t>Random-30-30-10</t>
  </si>
  <si>
    <t>Random-40-40-2</t>
  </si>
  <si>
    <t>Random-40-40-4</t>
  </si>
  <si>
    <t>Random-40-40-6</t>
  </si>
  <si>
    <t>Random-40-40-8</t>
  </si>
  <si>
    <t>Random-40-40-10</t>
  </si>
  <si>
    <t>Random-50-50-2</t>
  </si>
  <si>
    <t>Random-50-50-4</t>
  </si>
  <si>
    <t>Random-50-50-6</t>
  </si>
  <si>
    <t>Random-50-50-8</t>
  </si>
  <si>
    <t>Random-50-50-10</t>
  </si>
  <si>
    <t>Random-50-100-2</t>
  </si>
  <si>
    <t>Random-50-100-4</t>
  </si>
  <si>
    <t>Random-50-100-6</t>
  </si>
  <si>
    <t>Random-50-100-8</t>
  </si>
  <si>
    <t>Random-50-100-10</t>
  </si>
  <si>
    <t>Random-75-75-2</t>
  </si>
  <si>
    <t>Random-75-75-4</t>
  </si>
  <si>
    <t>Random-75-75-6</t>
  </si>
  <si>
    <t>Random-75-75-8</t>
  </si>
  <si>
    <t>Random-75-75-10</t>
  </si>
  <si>
    <t>Random-100-50-2</t>
  </si>
  <si>
    <t>Random-100-50-4</t>
  </si>
  <si>
    <t>Random-100-50-6</t>
  </si>
  <si>
    <t>Random-100-50-8</t>
  </si>
  <si>
    <t>Random-100-50-10</t>
  </si>
  <si>
    <t>Random-100-100-2</t>
  </si>
  <si>
    <t>Random-100-100-4</t>
  </si>
  <si>
    <t>Random-100-100-6</t>
  </si>
  <si>
    <t>Random-100-100-8</t>
  </si>
  <si>
    <t>Random-100-100-10</t>
  </si>
  <si>
    <t>Random-125-125-2</t>
  </si>
  <si>
    <t>Random-125-125-4</t>
  </si>
  <si>
    <t>Random-125-125-6</t>
  </si>
  <si>
    <t>Random-125-125-8</t>
  </si>
  <si>
    <t>Random-125-125-10</t>
  </si>
  <si>
    <t>BKS</t>
  </si>
  <si>
    <t>gap S*BKS(%)</t>
  </si>
  <si>
    <t>Carvalho_Soma</t>
  </si>
  <si>
    <t>Random-150-150-2</t>
  </si>
  <si>
    <t>Random-150-150-4</t>
  </si>
  <si>
    <t>Random-150-150-6</t>
  </si>
  <si>
    <t>Random-150-150-8</t>
  </si>
  <si>
    <t>Random-150-150-10</t>
  </si>
  <si>
    <t>Random-175-175-2</t>
  </si>
  <si>
    <t>Random-175-175-4</t>
  </si>
  <si>
    <t>Random-175-175-6</t>
  </si>
  <si>
    <t>Random-175-175-8</t>
  </si>
  <si>
    <t>Random-175-175-10</t>
  </si>
  <si>
    <t>Random-200-200-2</t>
  </si>
  <si>
    <t>Random-200-200-4</t>
  </si>
  <si>
    <t>Random-200-200-6</t>
  </si>
  <si>
    <t>Random-200-200-8</t>
  </si>
  <si>
    <t>Random-200-200-10</t>
  </si>
  <si>
    <t>size</t>
  </si>
  <si>
    <t>gap S* (%)</t>
  </si>
  <si>
    <t>400x400</t>
  </si>
  <si>
    <t>600x600</t>
  </si>
  <si>
    <t>800x800</t>
  </si>
  <si>
    <t>1000x1000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</si>
</sst>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5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2" fontId="1" numFmtId="0" xfId="0" applyAlignment="1" applyFill="1" applyFont="1">
      <alignment horizontal="center" readingOrder="0" vertical="bottom"/>
    </xf>
    <xf borderId="0" fillId="0" fontId="2" numFmtId="164" xfId="0" applyAlignment="1" applyFont="1" applyNumberFormat="1">
      <alignment horizontal="center" vertical="bottom"/>
    </xf>
    <xf borderId="0" fillId="0" fontId="2" numFmtId="2" xfId="0" applyAlignment="1" applyFont="1" applyNumberFormat="1">
      <alignment horizontal="center" readingOrder="0" vertical="bottom"/>
    </xf>
    <xf borderId="0" fillId="0" fontId="2" numFmtId="2" xfId="0" applyAlignment="1" applyFont="1" applyNumberFormat="1">
      <alignment horizontal="center" vertical="bottom"/>
    </xf>
    <xf borderId="0" fillId="0" fontId="1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64" xfId="0" applyAlignment="1" applyFont="1" applyNumberFormat="1">
      <alignment horizontal="center" vertical="bottom"/>
    </xf>
    <xf borderId="0" fillId="0" fontId="1" numFmtId="164" xfId="0" applyAlignment="1" applyFont="1" applyNumberFormat="1">
      <alignment horizontal="right" readingOrder="0" vertical="bottom"/>
    </xf>
    <xf borderId="0" fillId="2" fontId="3" numFmtId="0" xfId="0" applyAlignment="1" applyFont="1">
      <alignment horizontal="center" readingOrder="0" vertical="bottom"/>
    </xf>
    <xf borderId="0" fillId="2" fontId="3" numFmtId="0" xfId="0" applyAlignment="1" applyFont="1">
      <alignment horizontal="center" vertical="bottom"/>
    </xf>
    <xf borderId="0" fillId="2" fontId="3" numFmtId="2" xfId="0" applyAlignment="1" applyFont="1" applyNumberFormat="1">
      <alignment horizontal="center" readingOrder="0" vertical="bottom"/>
    </xf>
    <xf borderId="0" fillId="2" fontId="3" numFmtId="2" xfId="0" applyAlignment="1" applyFont="1" applyNumberFormat="1">
      <alignment horizontal="center" vertical="bottom"/>
    </xf>
    <xf borderId="0" fillId="0" fontId="1" numFmtId="164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0" fillId="0" fontId="3" numFmtId="2" xfId="0" applyAlignment="1" applyFont="1" applyNumberFormat="1">
      <alignment horizontal="center" readingOrder="0" vertical="bottom"/>
    </xf>
    <xf borderId="0" fillId="0" fontId="3" numFmtId="2" xfId="0" applyAlignment="1" applyFont="1" applyNumberForma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1" numFmtId="2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horizontal="center" readingOrder="0" vertical="bottom"/>
    </xf>
    <xf borderId="0" fillId="3" fontId="1" numFmtId="2" xfId="0" applyAlignment="1" applyFill="1" applyFont="1" applyNumberFormat="1">
      <alignment horizontal="center" readingOrder="0" vertical="bottom"/>
    </xf>
    <xf borderId="0" fillId="0" fontId="4" numFmtId="2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3" fontId="3" numFmtId="2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4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1" xfId="0" applyAlignment="1" applyFont="1" applyNumberFormat="1">
      <alignment horizontal="center"/>
    </xf>
    <xf borderId="0" fillId="3" fontId="1" numFmtId="2" xfId="0" applyAlignment="1" applyFont="1" applyNumberFormat="1">
      <alignment horizontal="center" vertical="bottom"/>
    </xf>
    <xf borderId="0" fillId="0" fontId="2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164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2" max="2" width="17.0"/>
    <col customWidth="1" min="6" max="6" width="24.0"/>
    <col customWidth="1" min="7" max="7" width="21.25"/>
    <col customWidth="1" min="8" max="8" width="21.5"/>
    <col customWidth="1" min="9" max="9" width="20.88"/>
    <col customWidth="1" min="10" max="10" width="20.25"/>
    <col customWidth="1" min="11" max="11" width="18.13"/>
    <col customWidth="1" min="12" max="12" width="18.38"/>
    <col customWidth="1" min="14" max="14" width="17.63"/>
    <col customWidth="1" min="15" max="15" width="15.5"/>
    <col customWidth="1" min="16" max="16" width="15.88"/>
  </cols>
  <sheetData>
    <row r="1">
      <c r="A1" s="1"/>
      <c r="B1" s="2"/>
      <c r="C1" s="2"/>
      <c r="D1" s="2"/>
      <c r="E1" s="2"/>
      <c r="F1" s="3"/>
      <c r="G1" s="3"/>
      <c r="H1" s="3"/>
      <c r="I1" s="3"/>
      <c r="J1" s="2"/>
      <c r="K1" s="3"/>
      <c r="L1" s="3"/>
      <c r="M1" s="3"/>
      <c r="N1" s="3"/>
      <c r="O1" s="3"/>
      <c r="P1" s="3"/>
    </row>
    <row r="2">
      <c r="A2" s="4"/>
      <c r="B2" s="5"/>
      <c r="C2" s="6" t="s">
        <v>0</v>
      </c>
      <c r="D2" s="6" t="s">
        <v>1</v>
      </c>
      <c r="F2" s="6" t="s">
        <v>2</v>
      </c>
      <c r="K2" s="5"/>
      <c r="L2" s="5"/>
      <c r="M2" s="5"/>
      <c r="N2" s="5"/>
      <c r="O2" s="3"/>
      <c r="P2" s="3"/>
    </row>
    <row r="3">
      <c r="A3" s="6" t="s">
        <v>3</v>
      </c>
      <c r="B3" s="6" t="s">
        <v>4</v>
      </c>
      <c r="C3" s="6" t="s">
        <v>5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6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3"/>
    </row>
    <row r="4">
      <c r="A4" s="7" t="s">
        <v>15</v>
      </c>
      <c r="B4" s="7" t="s">
        <v>16</v>
      </c>
      <c r="C4" s="8">
        <v>3.0</v>
      </c>
      <c r="D4" s="9">
        <v>3.0</v>
      </c>
      <c r="E4" s="7">
        <v>0.0</v>
      </c>
      <c r="F4" s="9">
        <v>3.0</v>
      </c>
      <c r="G4" s="9">
        <v>3.0</v>
      </c>
      <c r="H4" s="9">
        <v>3.0</v>
      </c>
      <c r="I4" s="9">
        <v>13654.5</v>
      </c>
      <c r="J4" s="9">
        <v>0.0</v>
      </c>
      <c r="K4" s="10">
        <f t="shared" ref="K4:K25" si="1">(F4 - C4) / C4 * 100</f>
        <v>0</v>
      </c>
      <c r="L4" s="10">
        <f t="shared" ref="L4:L25" si="2">(F4 - D4) / D4 * 100</f>
        <v>0</v>
      </c>
      <c r="M4" s="10">
        <f t="shared" ref="M4:M25" si="3">(G4 - D4) / D4 * 100</f>
        <v>0</v>
      </c>
      <c r="N4" s="10">
        <f t="shared" ref="N4:N25" si="4">(G4 - H4) / H4 * 100</f>
        <v>0</v>
      </c>
      <c r="O4" s="11"/>
      <c r="P4" s="11"/>
      <c r="Q4" s="12"/>
      <c r="R4" s="13"/>
      <c r="S4" s="12"/>
      <c r="T4" s="12"/>
      <c r="U4" s="12"/>
      <c r="V4" s="12"/>
      <c r="W4" s="14"/>
      <c r="X4" s="5"/>
    </row>
    <row r="5">
      <c r="A5" s="7" t="s">
        <v>15</v>
      </c>
      <c r="B5" s="7" t="s">
        <v>17</v>
      </c>
      <c r="C5" s="8">
        <v>4.0</v>
      </c>
      <c r="D5" s="9">
        <v>4.0</v>
      </c>
      <c r="E5" s="7">
        <v>0.0</v>
      </c>
      <c r="F5" s="9">
        <v>4.0</v>
      </c>
      <c r="G5" s="9">
        <v>4.0</v>
      </c>
      <c r="H5" s="9">
        <v>4.0</v>
      </c>
      <c r="I5" s="9">
        <v>13757.6</v>
      </c>
      <c r="J5" s="9">
        <v>0.0</v>
      </c>
      <c r="K5" s="10">
        <f t="shared" si="1"/>
        <v>0</v>
      </c>
      <c r="L5" s="10">
        <f t="shared" si="2"/>
        <v>0</v>
      </c>
      <c r="M5" s="10">
        <f t="shared" si="3"/>
        <v>0</v>
      </c>
      <c r="N5" s="10">
        <f t="shared" si="4"/>
        <v>0</v>
      </c>
      <c r="O5" s="11"/>
      <c r="P5" s="11"/>
      <c r="Q5" s="12"/>
      <c r="R5" s="13"/>
      <c r="S5" s="12"/>
      <c r="T5" s="12"/>
      <c r="U5" s="12"/>
      <c r="V5" s="12"/>
      <c r="W5" s="14"/>
      <c r="X5" s="15"/>
    </row>
    <row r="6">
      <c r="A6" s="7" t="s">
        <v>15</v>
      </c>
      <c r="B6" s="7" t="s">
        <v>18</v>
      </c>
      <c r="C6" s="8">
        <v>13.68</v>
      </c>
      <c r="D6" s="9">
        <v>13.92</v>
      </c>
      <c r="E6" s="7">
        <v>0.0</v>
      </c>
      <c r="F6" s="9">
        <v>13.68</v>
      </c>
      <c r="G6" s="9">
        <v>13.68</v>
      </c>
      <c r="H6" s="9">
        <v>14.0</v>
      </c>
      <c r="I6" s="9">
        <v>15216.32</v>
      </c>
      <c r="J6" s="9">
        <v>0.0</v>
      </c>
      <c r="K6" s="10">
        <f t="shared" si="1"/>
        <v>0</v>
      </c>
      <c r="L6" s="10">
        <f t="shared" si="2"/>
        <v>-1.724137931</v>
      </c>
      <c r="M6" s="10">
        <f t="shared" si="3"/>
        <v>-1.724137931</v>
      </c>
      <c r="N6" s="10">
        <f t="shared" si="4"/>
        <v>-2.285714286</v>
      </c>
      <c r="O6" s="11"/>
      <c r="P6" s="11"/>
      <c r="Q6" s="12"/>
      <c r="R6" s="13"/>
      <c r="S6" s="12"/>
      <c r="T6" s="12"/>
      <c r="U6" s="12"/>
      <c r="V6" s="12"/>
      <c r="W6" s="14"/>
      <c r="X6" s="15"/>
    </row>
    <row r="7">
      <c r="A7" s="7" t="s">
        <v>15</v>
      </c>
      <c r="B7" s="7" t="s">
        <v>19</v>
      </c>
      <c r="C7" s="8">
        <v>7.0</v>
      </c>
      <c r="D7" s="9">
        <v>7.0</v>
      </c>
      <c r="E7" s="7">
        <v>0.0</v>
      </c>
      <c r="F7" s="9">
        <v>7.0</v>
      </c>
      <c r="G7" s="9">
        <v>7.0</v>
      </c>
      <c r="H7" s="9">
        <v>7.0</v>
      </c>
      <c r="I7" s="9">
        <v>13362.8</v>
      </c>
      <c r="J7" s="9">
        <v>0.0</v>
      </c>
      <c r="K7" s="10">
        <f t="shared" si="1"/>
        <v>0</v>
      </c>
      <c r="L7" s="10">
        <f t="shared" si="2"/>
        <v>0</v>
      </c>
      <c r="M7" s="10">
        <f t="shared" si="3"/>
        <v>0</v>
      </c>
      <c r="N7" s="10">
        <f t="shared" si="4"/>
        <v>0</v>
      </c>
      <c r="O7" s="11"/>
      <c r="P7" s="11"/>
      <c r="Q7" s="12"/>
      <c r="R7" s="13"/>
      <c r="S7" s="12"/>
      <c r="T7" s="12"/>
      <c r="U7" s="12"/>
      <c r="V7" s="12"/>
      <c r="W7" s="14"/>
      <c r="X7" s="15"/>
    </row>
    <row r="8">
      <c r="A8" s="7" t="s">
        <v>15</v>
      </c>
      <c r="B8" s="7" t="s">
        <v>20</v>
      </c>
      <c r="C8" s="8">
        <v>7.0</v>
      </c>
      <c r="D8" s="9">
        <v>7.0</v>
      </c>
      <c r="E8" s="7">
        <v>0.0</v>
      </c>
      <c r="F8" s="9">
        <v>7.0</v>
      </c>
      <c r="G8" s="9">
        <v>7.0</v>
      </c>
      <c r="H8" s="9">
        <v>7.0</v>
      </c>
      <c r="I8" s="9">
        <v>13405.5</v>
      </c>
      <c r="J8" s="9">
        <v>0.0</v>
      </c>
      <c r="K8" s="10">
        <f t="shared" si="1"/>
        <v>0</v>
      </c>
      <c r="L8" s="10">
        <f t="shared" si="2"/>
        <v>0</v>
      </c>
      <c r="M8" s="10">
        <f t="shared" si="3"/>
        <v>0</v>
      </c>
      <c r="N8" s="10">
        <f t="shared" si="4"/>
        <v>0</v>
      </c>
      <c r="O8" s="11"/>
      <c r="P8" s="11"/>
      <c r="Q8" s="12"/>
      <c r="R8" s="13"/>
      <c r="S8" s="12"/>
      <c r="T8" s="12"/>
      <c r="U8" s="12"/>
      <c r="V8" s="12"/>
      <c r="W8" s="14"/>
      <c r="X8" s="15"/>
    </row>
    <row r="9">
      <c r="A9" s="7" t="s">
        <v>15</v>
      </c>
      <c r="B9" s="7" t="s">
        <v>21</v>
      </c>
      <c r="C9" s="8">
        <v>9.0</v>
      </c>
      <c r="D9" s="9">
        <v>9.0</v>
      </c>
      <c r="E9" s="7">
        <v>0.0</v>
      </c>
      <c r="F9" s="9">
        <v>9.0</v>
      </c>
      <c r="G9" s="9">
        <v>9.0</v>
      </c>
      <c r="H9" s="9">
        <v>9.0</v>
      </c>
      <c r="I9" s="9">
        <v>13382.4</v>
      </c>
      <c r="J9" s="9">
        <v>0.0</v>
      </c>
      <c r="K9" s="10">
        <f t="shared" si="1"/>
        <v>0</v>
      </c>
      <c r="L9" s="10">
        <f t="shared" si="2"/>
        <v>0</v>
      </c>
      <c r="M9" s="10">
        <f t="shared" si="3"/>
        <v>0</v>
      </c>
      <c r="N9" s="10">
        <f t="shared" si="4"/>
        <v>0</v>
      </c>
      <c r="O9" s="11"/>
      <c r="P9" s="11"/>
      <c r="Q9" s="12"/>
      <c r="R9" s="13"/>
      <c r="S9" s="12"/>
      <c r="T9" s="12"/>
      <c r="U9" s="12"/>
      <c r="V9" s="12"/>
      <c r="W9" s="14"/>
      <c r="X9" s="15"/>
    </row>
    <row r="10">
      <c r="A10" s="7" t="s">
        <v>15</v>
      </c>
      <c r="B10" s="7" t="s">
        <v>22</v>
      </c>
      <c r="C10" s="8">
        <v>12.0</v>
      </c>
      <c r="D10" s="9">
        <v>12.0</v>
      </c>
      <c r="E10" s="7">
        <v>0.0</v>
      </c>
      <c r="F10" s="9">
        <v>12.0</v>
      </c>
      <c r="G10" s="9">
        <v>12.0</v>
      </c>
      <c r="H10" s="9">
        <v>12.0</v>
      </c>
      <c r="I10" s="9">
        <v>13981.0</v>
      </c>
      <c r="J10" s="9">
        <v>0.0</v>
      </c>
      <c r="K10" s="10">
        <f t="shared" si="1"/>
        <v>0</v>
      </c>
      <c r="L10" s="10">
        <f t="shared" si="2"/>
        <v>0</v>
      </c>
      <c r="M10" s="10">
        <f t="shared" si="3"/>
        <v>0</v>
      </c>
      <c r="N10" s="10">
        <f t="shared" si="4"/>
        <v>0</v>
      </c>
      <c r="O10" s="11"/>
      <c r="P10" s="11"/>
      <c r="Q10" s="12"/>
      <c r="R10" s="13"/>
      <c r="S10" s="12"/>
      <c r="T10" s="12"/>
      <c r="U10" s="12"/>
      <c r="V10" s="12"/>
      <c r="W10" s="14"/>
      <c r="X10" s="15"/>
    </row>
    <row r="11">
      <c r="A11" s="7" t="s">
        <v>15</v>
      </c>
      <c r="B11" s="7" t="s">
        <v>23</v>
      </c>
      <c r="C11" s="8">
        <v>12.0</v>
      </c>
      <c r="D11" s="9">
        <v>12.0</v>
      </c>
      <c r="E11" s="7">
        <v>0.0</v>
      </c>
      <c r="F11" s="9">
        <v>12.0</v>
      </c>
      <c r="G11" s="9">
        <v>12.0</v>
      </c>
      <c r="H11" s="9">
        <v>12.0</v>
      </c>
      <c r="I11" s="9">
        <v>14325.7</v>
      </c>
      <c r="J11" s="9">
        <v>0.0</v>
      </c>
      <c r="K11" s="10">
        <f t="shared" si="1"/>
        <v>0</v>
      </c>
      <c r="L11" s="10">
        <f t="shared" si="2"/>
        <v>0</v>
      </c>
      <c r="M11" s="10">
        <f t="shared" si="3"/>
        <v>0</v>
      </c>
      <c r="N11" s="10">
        <f t="shared" si="4"/>
        <v>0</v>
      </c>
      <c r="O11" s="11"/>
      <c r="P11" s="11"/>
      <c r="Q11" s="14"/>
      <c r="R11" s="11"/>
      <c r="S11" s="14"/>
      <c r="T11" s="14"/>
      <c r="U11" s="14"/>
      <c r="V11" s="14"/>
      <c r="W11" s="14"/>
      <c r="X11" s="15"/>
    </row>
    <row r="12">
      <c r="A12" s="7" t="s">
        <v>15</v>
      </c>
      <c r="B12" s="7" t="s">
        <v>24</v>
      </c>
      <c r="C12" s="8">
        <v>13.0</v>
      </c>
      <c r="D12" s="9">
        <v>13.0</v>
      </c>
      <c r="E12" s="7">
        <v>0.0</v>
      </c>
      <c r="F12" s="9">
        <v>13.0</v>
      </c>
      <c r="G12" s="9">
        <v>13.0</v>
      </c>
      <c r="H12" s="9">
        <v>13.0</v>
      </c>
      <c r="I12" s="9">
        <v>15320.2</v>
      </c>
      <c r="J12" s="9">
        <v>0.0</v>
      </c>
      <c r="K12" s="10">
        <f t="shared" si="1"/>
        <v>0</v>
      </c>
      <c r="L12" s="10">
        <f t="shared" si="2"/>
        <v>0</v>
      </c>
      <c r="M12" s="10">
        <f t="shared" si="3"/>
        <v>0</v>
      </c>
      <c r="N12" s="10">
        <f t="shared" si="4"/>
        <v>0</v>
      </c>
      <c r="O12" s="11"/>
      <c r="P12" s="11"/>
      <c r="Q12" s="14"/>
      <c r="R12" s="11"/>
      <c r="S12" s="14"/>
      <c r="T12" s="14"/>
      <c r="U12" s="14"/>
      <c r="V12" s="14"/>
      <c r="W12" s="14"/>
      <c r="X12" s="15"/>
    </row>
    <row r="13">
      <c r="A13" s="16" t="s">
        <v>15</v>
      </c>
      <c r="B13" s="7" t="s">
        <v>25</v>
      </c>
      <c r="C13" s="8">
        <v>45.0</v>
      </c>
      <c r="D13" s="9">
        <v>45.0</v>
      </c>
      <c r="E13" s="16">
        <v>0.01</v>
      </c>
      <c r="F13" s="9">
        <v>45.0</v>
      </c>
      <c r="G13" s="9">
        <v>45.0</v>
      </c>
      <c r="H13" s="9">
        <v>45.0</v>
      </c>
      <c r="I13" s="9">
        <v>45238.6</v>
      </c>
      <c r="J13" s="9">
        <v>0.0</v>
      </c>
      <c r="K13" s="10">
        <f t="shared" si="1"/>
        <v>0</v>
      </c>
      <c r="L13" s="10">
        <f t="shared" si="2"/>
        <v>0</v>
      </c>
      <c r="M13" s="10">
        <f t="shared" si="3"/>
        <v>0</v>
      </c>
      <c r="N13" s="10">
        <f t="shared" si="4"/>
        <v>0</v>
      </c>
      <c r="O13" s="17"/>
      <c r="P13" s="11"/>
      <c r="R13" s="17"/>
      <c r="U13" s="12"/>
      <c r="V13" s="12"/>
      <c r="W13" s="12"/>
      <c r="X13" s="15"/>
    </row>
    <row r="14">
      <c r="A14" s="16" t="s">
        <v>15</v>
      </c>
      <c r="B14" s="7" t="s">
        <v>26</v>
      </c>
      <c r="C14" s="8">
        <v>40.0</v>
      </c>
      <c r="D14" s="9">
        <v>40.0</v>
      </c>
      <c r="E14" s="16">
        <v>0.01</v>
      </c>
      <c r="F14" s="9">
        <v>40.0</v>
      </c>
      <c r="G14" s="9">
        <v>40.0</v>
      </c>
      <c r="H14" s="9">
        <v>40.0</v>
      </c>
      <c r="I14" s="9">
        <v>37784.6</v>
      </c>
      <c r="J14" s="9">
        <v>0.0</v>
      </c>
      <c r="K14" s="10">
        <f t="shared" si="1"/>
        <v>0</v>
      </c>
      <c r="L14" s="10">
        <f t="shared" si="2"/>
        <v>0</v>
      </c>
      <c r="M14" s="10">
        <f t="shared" si="3"/>
        <v>0</v>
      </c>
      <c r="N14" s="10">
        <f t="shared" si="4"/>
        <v>0</v>
      </c>
      <c r="O14" s="17"/>
      <c r="P14" s="11"/>
      <c r="R14" s="17"/>
      <c r="U14" s="12"/>
      <c r="V14" s="12"/>
      <c r="W14" s="12"/>
      <c r="X14" s="15"/>
    </row>
    <row r="15">
      <c r="A15" s="16" t="s">
        <v>15</v>
      </c>
      <c r="B15" s="7" t="s">
        <v>27</v>
      </c>
      <c r="C15" s="8">
        <v>40.0</v>
      </c>
      <c r="D15" s="9">
        <v>41.0</v>
      </c>
      <c r="E15" s="16">
        <v>0.01</v>
      </c>
      <c r="F15" s="9">
        <v>40.0</v>
      </c>
      <c r="G15" s="9">
        <v>40.9</v>
      </c>
      <c r="H15" s="9">
        <v>40.0</v>
      </c>
      <c r="I15" s="9">
        <v>39160.4</v>
      </c>
      <c r="J15" s="9">
        <v>0.32</v>
      </c>
      <c r="K15" s="10">
        <f t="shared" si="1"/>
        <v>0</v>
      </c>
      <c r="L15" s="10">
        <f t="shared" si="2"/>
        <v>-2.43902439</v>
      </c>
      <c r="M15" s="10">
        <f t="shared" si="3"/>
        <v>-0.243902439</v>
      </c>
      <c r="N15" s="10">
        <f t="shared" si="4"/>
        <v>2.25</v>
      </c>
      <c r="O15" s="17"/>
      <c r="P15" s="11"/>
      <c r="R15" s="17"/>
      <c r="U15" s="12"/>
      <c r="V15" s="12"/>
      <c r="W15" s="12"/>
      <c r="X15" s="15"/>
    </row>
    <row r="16">
      <c r="A16" s="16" t="s">
        <v>15</v>
      </c>
      <c r="B16" s="7" t="s">
        <v>28</v>
      </c>
      <c r="C16" s="8">
        <v>30.0</v>
      </c>
      <c r="D16" s="9">
        <v>31.0</v>
      </c>
      <c r="E16" s="16">
        <v>0.0</v>
      </c>
      <c r="F16" s="9">
        <v>30.0</v>
      </c>
      <c r="G16" s="9">
        <v>30.8</v>
      </c>
      <c r="H16" s="9">
        <v>30.0</v>
      </c>
      <c r="I16" s="9">
        <v>34688.1</v>
      </c>
      <c r="J16" s="9">
        <v>0.42</v>
      </c>
      <c r="K16" s="10">
        <f t="shared" si="1"/>
        <v>0</v>
      </c>
      <c r="L16" s="10">
        <f t="shared" si="2"/>
        <v>-3.225806452</v>
      </c>
      <c r="M16" s="10">
        <f t="shared" si="3"/>
        <v>-0.6451612903</v>
      </c>
      <c r="N16" s="10">
        <f t="shared" si="4"/>
        <v>2.666666667</v>
      </c>
      <c r="O16" s="17"/>
      <c r="P16" s="11"/>
      <c r="R16" s="17"/>
      <c r="U16" s="12"/>
      <c r="V16" s="12"/>
      <c r="W16" s="12"/>
      <c r="X16" s="15"/>
    </row>
    <row r="17">
      <c r="A17" s="16" t="s">
        <v>15</v>
      </c>
      <c r="B17" s="7" t="s">
        <v>29</v>
      </c>
      <c r="C17" s="8">
        <v>19.0</v>
      </c>
      <c r="D17" s="9">
        <v>22.0</v>
      </c>
      <c r="E17" s="16">
        <v>0.0</v>
      </c>
      <c r="F17" s="9">
        <v>19.0</v>
      </c>
      <c r="G17" s="9">
        <v>19.0</v>
      </c>
      <c r="H17" s="9">
        <v>23.0</v>
      </c>
      <c r="I17" s="9">
        <v>15926.8</v>
      </c>
      <c r="J17" s="9">
        <v>0.0</v>
      </c>
      <c r="K17" s="10">
        <f t="shared" si="1"/>
        <v>0</v>
      </c>
      <c r="L17" s="10">
        <f t="shared" si="2"/>
        <v>-13.63636364</v>
      </c>
      <c r="M17" s="10">
        <f t="shared" si="3"/>
        <v>-13.63636364</v>
      </c>
      <c r="N17" s="10">
        <f t="shared" si="4"/>
        <v>-17.39130435</v>
      </c>
      <c r="O17" s="17"/>
      <c r="P17" s="11"/>
      <c r="R17" s="17"/>
      <c r="U17" s="12"/>
      <c r="V17" s="12"/>
      <c r="W17" s="12"/>
      <c r="X17" s="15"/>
    </row>
    <row r="18">
      <c r="A18" s="16" t="s">
        <v>15</v>
      </c>
      <c r="B18" s="7" t="s">
        <v>30</v>
      </c>
      <c r="C18" s="8">
        <v>10.0</v>
      </c>
      <c r="D18" s="9">
        <v>10.0</v>
      </c>
      <c r="E18" s="16">
        <v>0.0</v>
      </c>
      <c r="F18" s="9">
        <v>10.0</v>
      </c>
      <c r="G18" s="9">
        <v>10.0</v>
      </c>
      <c r="H18" s="9">
        <v>10.0</v>
      </c>
      <c r="I18" s="9">
        <v>14952.0</v>
      </c>
      <c r="J18" s="9">
        <v>0.0</v>
      </c>
      <c r="K18" s="10">
        <f t="shared" si="1"/>
        <v>0</v>
      </c>
      <c r="L18" s="10">
        <f t="shared" si="2"/>
        <v>0</v>
      </c>
      <c r="M18" s="10">
        <f t="shared" si="3"/>
        <v>0</v>
      </c>
      <c r="N18" s="10">
        <f t="shared" si="4"/>
        <v>0</v>
      </c>
      <c r="O18" s="17"/>
      <c r="P18" s="11"/>
      <c r="R18" s="17"/>
      <c r="U18" s="12"/>
      <c r="V18" s="12"/>
      <c r="W18" s="12"/>
      <c r="X18" s="15"/>
    </row>
    <row r="19">
      <c r="A19" s="16" t="s">
        <v>15</v>
      </c>
      <c r="B19" s="16" t="s">
        <v>31</v>
      </c>
      <c r="C19" s="8">
        <v>16.0</v>
      </c>
      <c r="D19" s="9">
        <v>16.0</v>
      </c>
      <c r="E19" s="16">
        <v>0.0</v>
      </c>
      <c r="F19" s="9">
        <v>16.0</v>
      </c>
      <c r="G19" s="9">
        <v>16.0</v>
      </c>
      <c r="H19" s="9">
        <v>16.0</v>
      </c>
      <c r="I19" s="9">
        <v>17079.7</v>
      </c>
      <c r="J19" s="9">
        <v>0.0</v>
      </c>
      <c r="K19" s="10">
        <f t="shared" si="1"/>
        <v>0</v>
      </c>
      <c r="L19" s="10">
        <f t="shared" si="2"/>
        <v>0</v>
      </c>
      <c r="M19" s="10">
        <f t="shared" si="3"/>
        <v>0</v>
      </c>
      <c r="N19" s="10">
        <f t="shared" si="4"/>
        <v>0</v>
      </c>
      <c r="O19" s="17"/>
      <c r="P19" s="17"/>
      <c r="R19" s="17"/>
      <c r="U19" s="12"/>
      <c r="V19" s="12"/>
      <c r="W19" s="12"/>
      <c r="X19" s="15"/>
    </row>
    <row r="20">
      <c r="A20" s="16" t="s">
        <v>15</v>
      </c>
      <c r="B20" s="16" t="s">
        <v>32</v>
      </c>
      <c r="C20" s="8">
        <v>34.0</v>
      </c>
      <c r="D20" s="9">
        <v>40.0</v>
      </c>
      <c r="E20" s="16">
        <v>0.0</v>
      </c>
      <c r="F20" s="9">
        <v>34.0</v>
      </c>
      <c r="G20" s="9">
        <v>34.0</v>
      </c>
      <c r="H20" s="9">
        <v>37.0</v>
      </c>
      <c r="I20" s="9">
        <v>18206.3</v>
      </c>
      <c r="J20" s="9">
        <v>0.0</v>
      </c>
      <c r="K20" s="10">
        <f t="shared" si="1"/>
        <v>0</v>
      </c>
      <c r="L20" s="10">
        <f t="shared" si="2"/>
        <v>-15</v>
      </c>
      <c r="M20" s="10">
        <f t="shared" si="3"/>
        <v>-15</v>
      </c>
      <c r="N20" s="10">
        <f t="shared" si="4"/>
        <v>-8.108108108</v>
      </c>
      <c r="O20" s="17"/>
      <c r="P20" s="17"/>
      <c r="R20" s="17"/>
      <c r="U20" s="12"/>
      <c r="V20" s="12"/>
      <c r="W20" s="12"/>
      <c r="X20" s="15"/>
    </row>
    <row r="21">
      <c r="A21" s="16" t="s">
        <v>15</v>
      </c>
      <c r="B21" s="16" t="s">
        <v>33</v>
      </c>
      <c r="C21" s="8">
        <v>95.0</v>
      </c>
      <c r="D21" s="9">
        <v>96.0</v>
      </c>
      <c r="E21" s="16">
        <v>0.17</v>
      </c>
      <c r="F21" s="9">
        <v>95.0</v>
      </c>
      <c r="G21" s="9">
        <v>95.1</v>
      </c>
      <c r="H21" s="9">
        <v>96.0</v>
      </c>
      <c r="I21" s="9">
        <v>151319.5</v>
      </c>
      <c r="J21" s="9">
        <v>0.32</v>
      </c>
      <c r="K21" s="10">
        <f t="shared" si="1"/>
        <v>0</v>
      </c>
      <c r="L21" s="10">
        <f t="shared" si="2"/>
        <v>-1.041666667</v>
      </c>
      <c r="M21" s="10">
        <f t="shared" si="3"/>
        <v>-0.9375</v>
      </c>
      <c r="N21" s="10">
        <f t="shared" si="4"/>
        <v>-0.9375</v>
      </c>
      <c r="O21" s="17"/>
      <c r="P21" s="17"/>
      <c r="R21" s="17"/>
      <c r="U21" s="12"/>
      <c r="V21" s="12"/>
      <c r="W21" s="12"/>
      <c r="X21" s="15"/>
    </row>
    <row r="22">
      <c r="A22" s="16" t="s">
        <v>15</v>
      </c>
      <c r="B22" s="16" t="s">
        <v>34</v>
      </c>
      <c r="C22" s="8">
        <v>75.0</v>
      </c>
      <c r="D22" s="9">
        <v>75.0</v>
      </c>
      <c r="E22" s="16">
        <v>0.11</v>
      </c>
      <c r="F22" s="9">
        <v>76.0</v>
      </c>
      <c r="G22" s="9">
        <v>76.8</v>
      </c>
      <c r="H22" s="9">
        <v>75.0</v>
      </c>
      <c r="I22" s="9">
        <v>121879.4</v>
      </c>
      <c r="J22" s="9">
        <v>0.42</v>
      </c>
      <c r="K22" s="10">
        <f t="shared" si="1"/>
        <v>1.333333333</v>
      </c>
      <c r="L22" s="10">
        <f t="shared" si="2"/>
        <v>1.333333333</v>
      </c>
      <c r="M22" s="10">
        <f t="shared" si="3"/>
        <v>2.4</v>
      </c>
      <c r="N22" s="10">
        <f t="shared" si="4"/>
        <v>2.4</v>
      </c>
      <c r="O22" s="17"/>
      <c r="P22" s="17"/>
      <c r="R22" s="17"/>
      <c r="U22" s="12"/>
      <c r="V22" s="12"/>
      <c r="W22" s="12"/>
      <c r="X22" s="15"/>
    </row>
    <row r="23">
      <c r="A23" s="16" t="s">
        <v>15</v>
      </c>
      <c r="B23" s="16" t="s">
        <v>35</v>
      </c>
      <c r="C23" s="8">
        <v>75.0</v>
      </c>
      <c r="D23" s="9">
        <v>75.0</v>
      </c>
      <c r="E23" s="16">
        <v>0.11</v>
      </c>
      <c r="F23" s="9">
        <v>77.0</v>
      </c>
      <c r="G23" s="9">
        <v>77.0</v>
      </c>
      <c r="H23" s="9">
        <v>75.0</v>
      </c>
      <c r="I23" s="9">
        <v>122094.9</v>
      </c>
      <c r="J23" s="9">
        <v>0.0</v>
      </c>
      <c r="K23" s="10">
        <f t="shared" si="1"/>
        <v>2.666666667</v>
      </c>
      <c r="L23" s="10">
        <f t="shared" si="2"/>
        <v>2.666666667</v>
      </c>
      <c r="M23" s="10">
        <f t="shared" si="3"/>
        <v>2.666666667</v>
      </c>
      <c r="N23" s="10">
        <f t="shared" si="4"/>
        <v>2.666666667</v>
      </c>
      <c r="O23" s="17"/>
      <c r="P23" s="17"/>
      <c r="R23" s="17"/>
      <c r="U23" s="12"/>
      <c r="V23" s="12"/>
      <c r="W23" s="12"/>
      <c r="X23" s="15"/>
    </row>
    <row r="24">
      <c r="A24" s="16" t="s">
        <v>15</v>
      </c>
      <c r="B24" s="16" t="s">
        <v>36</v>
      </c>
      <c r="C24" s="8">
        <v>60.0</v>
      </c>
      <c r="D24" s="9">
        <v>61.0</v>
      </c>
      <c r="E24" s="16">
        <v>0.08</v>
      </c>
      <c r="F24" s="9">
        <v>62.0</v>
      </c>
      <c r="G24" s="9">
        <v>62.0</v>
      </c>
      <c r="H24" s="9">
        <v>61.0</v>
      </c>
      <c r="I24" s="9">
        <v>103431.0</v>
      </c>
      <c r="J24" s="9">
        <v>0.0</v>
      </c>
      <c r="K24" s="10">
        <f t="shared" si="1"/>
        <v>3.333333333</v>
      </c>
      <c r="L24" s="10">
        <f t="shared" si="2"/>
        <v>1.639344262</v>
      </c>
      <c r="M24" s="10">
        <f t="shared" si="3"/>
        <v>1.639344262</v>
      </c>
      <c r="N24" s="10">
        <f t="shared" si="4"/>
        <v>1.639344262</v>
      </c>
      <c r="O24" s="17"/>
      <c r="P24" s="17"/>
      <c r="R24" s="17"/>
      <c r="U24" s="12"/>
      <c r="V24" s="12"/>
      <c r="W24" s="12"/>
      <c r="X24" s="15"/>
    </row>
    <row r="25">
      <c r="A25" s="16" t="s">
        <v>15</v>
      </c>
      <c r="B25" s="16" t="s">
        <v>37</v>
      </c>
      <c r="C25" s="8">
        <v>53.0</v>
      </c>
      <c r="D25" s="9">
        <v>57.0</v>
      </c>
      <c r="E25" s="16">
        <v>0.0</v>
      </c>
      <c r="F25" s="9">
        <v>53.0</v>
      </c>
      <c r="G25" s="9">
        <v>53.0</v>
      </c>
      <c r="H25" s="9">
        <v>57.0</v>
      </c>
      <c r="I25" s="9">
        <v>21533.2</v>
      </c>
      <c r="J25" s="9">
        <v>0.0</v>
      </c>
      <c r="K25" s="10">
        <f t="shared" si="1"/>
        <v>0</v>
      </c>
      <c r="L25" s="10">
        <f t="shared" si="2"/>
        <v>-7.01754386</v>
      </c>
      <c r="M25" s="10">
        <f t="shared" si="3"/>
        <v>-7.01754386</v>
      </c>
      <c r="N25" s="10">
        <f t="shared" si="4"/>
        <v>-7.01754386</v>
      </c>
      <c r="O25" s="17"/>
      <c r="P25" s="17"/>
      <c r="R25" s="17"/>
      <c r="U25" s="12"/>
      <c r="V25" s="12"/>
      <c r="W25" s="12"/>
      <c r="X25" s="15"/>
    </row>
    <row r="26">
      <c r="A26" s="18" t="s">
        <v>38</v>
      </c>
      <c r="B26" s="19"/>
      <c r="C26" s="20"/>
      <c r="D26" s="20"/>
      <c r="E26" s="20"/>
      <c r="F26" s="21"/>
      <c r="G26" s="21"/>
      <c r="H26" s="20"/>
      <c r="I26" s="21"/>
      <c r="J26" s="20"/>
      <c r="K26" s="10">
        <f>IFERROR(__xludf.DUMMYFUNCTION("AVERAGE( FILTER( VALUE(K4:K25) , VALUE(K4:K25) &lt;&gt; 0 ) )"),2.4433333333333334)</f>
        <v>2.443333333</v>
      </c>
      <c r="L26" s="10">
        <f>IFERROR(__xludf.DUMMYFUNCTION("AVERAGE( FILTER( VALUE(L4:L25) , VALUE(L4:L25) &lt;&gt; 0 ) )"),-3.845)</f>
        <v>-3.845</v>
      </c>
      <c r="M26" s="10">
        <f>IFERROR(__xludf.DUMMYFUNCTION("AVERAGE( FILTER( VALUE(M4:M25) , VALUE(M4:M25) &lt;&gt; 0 ) )"),-3.25)</f>
        <v>-3.25</v>
      </c>
      <c r="N26" s="10">
        <f>IFERROR(__xludf.DUMMYFUNCTION("AVERAGE( FILTER( VALUE(N4:N25) , VALUE(N4:N25) &lt;&gt; 0 ) )"),-2.412)</f>
        <v>-2.412</v>
      </c>
      <c r="O26" s="22"/>
      <c r="P26" s="22"/>
      <c r="R26" s="22"/>
      <c r="U26" s="23"/>
      <c r="V26" s="15"/>
      <c r="W26" s="15"/>
      <c r="X26" s="15"/>
    </row>
    <row r="27">
      <c r="A27" s="24"/>
      <c r="B27" s="25"/>
      <c r="C27" s="26"/>
      <c r="D27" s="26"/>
      <c r="E27" s="26"/>
      <c r="F27" s="27"/>
      <c r="G27" s="27"/>
      <c r="H27" s="26"/>
      <c r="I27" s="27"/>
      <c r="J27" s="26"/>
      <c r="K27" s="10"/>
      <c r="L27" s="10"/>
      <c r="M27" s="10"/>
      <c r="N27" s="10"/>
      <c r="O27" s="22"/>
      <c r="P27" s="22"/>
      <c r="R27" s="22"/>
      <c r="U27" s="23"/>
      <c r="V27" s="15"/>
      <c r="W27" s="15"/>
      <c r="X27" s="15"/>
    </row>
    <row r="28">
      <c r="A28" s="24"/>
      <c r="B28" s="25"/>
      <c r="C28" s="26"/>
      <c r="D28" s="26"/>
      <c r="E28" s="26"/>
      <c r="F28" s="27"/>
      <c r="G28" s="27"/>
      <c r="H28" s="26"/>
      <c r="I28" s="27"/>
      <c r="J28" s="26"/>
      <c r="K28" s="10"/>
      <c r="L28" s="10"/>
      <c r="M28" s="10"/>
      <c r="N28" s="10"/>
      <c r="O28" s="22"/>
      <c r="P28" s="22"/>
      <c r="R28" s="22"/>
      <c r="U28" s="23"/>
      <c r="V28" s="15"/>
      <c r="W28" s="15"/>
      <c r="X28" s="15"/>
    </row>
    <row r="29">
      <c r="A29" s="4"/>
      <c r="B29" s="5"/>
      <c r="C29" s="6" t="s">
        <v>0</v>
      </c>
      <c r="D29" s="6" t="s">
        <v>1</v>
      </c>
      <c r="F29" s="6" t="s">
        <v>2</v>
      </c>
      <c r="K29" s="5"/>
      <c r="L29" s="5"/>
      <c r="M29" s="5"/>
      <c r="N29" s="5"/>
      <c r="O29" s="22"/>
      <c r="P29" s="22"/>
      <c r="R29" s="22"/>
      <c r="U29" s="23"/>
      <c r="V29" s="15"/>
      <c r="W29" s="15"/>
      <c r="X29" s="15"/>
    </row>
    <row r="30">
      <c r="A30" s="6" t="s">
        <v>3</v>
      </c>
      <c r="B30" s="6" t="s">
        <v>4</v>
      </c>
      <c r="C30" s="6" t="s">
        <v>5</v>
      </c>
      <c r="D30" s="6" t="s">
        <v>5</v>
      </c>
      <c r="E30" s="6" t="s">
        <v>6</v>
      </c>
      <c r="F30" s="6" t="s">
        <v>7</v>
      </c>
      <c r="G30" s="6" t="s">
        <v>8</v>
      </c>
      <c r="H30" s="6" t="s">
        <v>9</v>
      </c>
      <c r="I30" s="6" t="s">
        <v>6</v>
      </c>
      <c r="J30" s="6" t="s">
        <v>10</v>
      </c>
      <c r="K30" s="6" t="s">
        <v>11</v>
      </c>
      <c r="L30" s="6" t="s">
        <v>12</v>
      </c>
      <c r="M30" s="6" t="s">
        <v>13</v>
      </c>
      <c r="N30" s="6" t="s">
        <v>14</v>
      </c>
      <c r="O30" s="17"/>
      <c r="P30" s="17"/>
      <c r="R30" s="17"/>
      <c r="U30" s="12"/>
      <c r="V30" s="12"/>
      <c r="W30" s="12"/>
      <c r="X30" s="15"/>
    </row>
    <row r="31">
      <c r="A31" s="16" t="s">
        <v>39</v>
      </c>
      <c r="B31" s="16" t="s">
        <v>40</v>
      </c>
      <c r="C31" s="8">
        <v>5.0</v>
      </c>
      <c r="D31" s="9">
        <v>5.0</v>
      </c>
      <c r="E31" s="16">
        <v>0.0</v>
      </c>
      <c r="F31" s="9">
        <v>5.0</v>
      </c>
      <c r="G31" s="9">
        <v>5.0</v>
      </c>
      <c r="H31" s="9">
        <v>5.0</v>
      </c>
      <c r="I31" s="9">
        <v>13230.4</v>
      </c>
      <c r="J31" s="9">
        <v>0.0</v>
      </c>
      <c r="K31" s="10">
        <f t="shared" ref="K31:K54" si="5">(F31 - C31) / C31 * 100</f>
        <v>0</v>
      </c>
      <c r="L31" s="10">
        <f t="shared" ref="L31:L54" si="6">(F31 - D31) / D31 * 100</f>
        <v>0</v>
      </c>
      <c r="M31" s="10">
        <f t="shared" ref="M31:M54" si="7">(G31 - D31) / D31 * 100</f>
        <v>0</v>
      </c>
      <c r="N31" s="10">
        <f t="shared" ref="N31:N54" si="8">(G31 - H31) / H31 * 100</f>
        <v>0</v>
      </c>
      <c r="O31" s="17"/>
      <c r="P31" s="17"/>
      <c r="R31" s="17"/>
      <c r="U31" s="12"/>
      <c r="V31" s="12"/>
      <c r="W31" s="12"/>
      <c r="X31" s="15"/>
    </row>
    <row r="32">
      <c r="A32" s="16" t="s">
        <v>39</v>
      </c>
      <c r="B32" s="16" t="s">
        <v>41</v>
      </c>
      <c r="C32" s="8">
        <v>10.0</v>
      </c>
      <c r="D32" s="9">
        <v>10.0</v>
      </c>
      <c r="E32" s="16">
        <v>0.0</v>
      </c>
      <c r="F32" s="9">
        <v>10.0</v>
      </c>
      <c r="G32" s="9">
        <v>10.0</v>
      </c>
      <c r="H32" s="9">
        <v>10.0</v>
      </c>
      <c r="I32" s="9">
        <v>13187.7</v>
      </c>
      <c r="J32" s="9">
        <v>0.0</v>
      </c>
      <c r="K32" s="10">
        <f t="shared" si="5"/>
        <v>0</v>
      </c>
      <c r="L32" s="10">
        <f t="shared" si="6"/>
        <v>0</v>
      </c>
      <c r="M32" s="10">
        <f t="shared" si="7"/>
        <v>0</v>
      </c>
      <c r="N32" s="10">
        <f t="shared" si="8"/>
        <v>0</v>
      </c>
      <c r="O32" s="17"/>
      <c r="P32" s="17"/>
      <c r="R32" s="17"/>
      <c r="U32" s="12"/>
      <c r="V32" s="12"/>
      <c r="W32" s="12"/>
      <c r="X32" s="15"/>
    </row>
    <row r="33">
      <c r="A33" s="16" t="s">
        <v>39</v>
      </c>
      <c r="B33" s="16" t="s">
        <v>42</v>
      </c>
      <c r="C33" s="8">
        <v>5.0</v>
      </c>
      <c r="D33" s="9">
        <v>5.0</v>
      </c>
      <c r="E33" s="16">
        <v>0.0</v>
      </c>
      <c r="F33" s="9">
        <v>5.0</v>
      </c>
      <c r="G33" s="9">
        <v>5.0</v>
      </c>
      <c r="H33" s="9">
        <v>5.0</v>
      </c>
      <c r="I33" s="9">
        <v>13121.0</v>
      </c>
      <c r="J33" s="9">
        <v>0.0</v>
      </c>
      <c r="K33" s="10">
        <f t="shared" si="5"/>
        <v>0</v>
      </c>
      <c r="L33" s="10">
        <f t="shared" si="6"/>
        <v>0</v>
      </c>
      <c r="M33" s="10">
        <f t="shared" si="7"/>
        <v>0</v>
      </c>
      <c r="N33" s="10">
        <f t="shared" si="8"/>
        <v>0</v>
      </c>
      <c r="O33" s="17"/>
      <c r="P33" s="17"/>
      <c r="R33" s="17"/>
      <c r="U33" s="12"/>
      <c r="V33" s="12"/>
      <c r="W33" s="12"/>
      <c r="X33" s="15"/>
    </row>
    <row r="34">
      <c r="A34" s="16" t="s">
        <v>39</v>
      </c>
      <c r="B34" s="16" t="s">
        <v>43</v>
      </c>
      <c r="C34" s="8">
        <v>6.0</v>
      </c>
      <c r="D34" s="9">
        <v>6.0</v>
      </c>
      <c r="E34" s="16">
        <v>0.0</v>
      </c>
      <c r="F34" s="9">
        <v>6.0</v>
      </c>
      <c r="G34" s="9">
        <v>6.0</v>
      </c>
      <c r="H34" s="9">
        <v>6.0</v>
      </c>
      <c r="I34" s="9">
        <v>13169.6</v>
      </c>
      <c r="J34" s="9">
        <v>0.0</v>
      </c>
      <c r="K34" s="10">
        <f t="shared" si="5"/>
        <v>0</v>
      </c>
      <c r="L34" s="10">
        <f t="shared" si="6"/>
        <v>0</v>
      </c>
      <c r="M34" s="10">
        <f t="shared" si="7"/>
        <v>0</v>
      </c>
      <c r="N34" s="10">
        <f t="shared" si="8"/>
        <v>0</v>
      </c>
      <c r="O34" s="17"/>
      <c r="P34" s="17"/>
      <c r="R34" s="17"/>
      <c r="U34" s="12"/>
      <c r="V34" s="12"/>
      <c r="W34" s="12"/>
      <c r="X34" s="15"/>
    </row>
    <row r="35">
      <c r="A35" s="16" t="s">
        <v>39</v>
      </c>
      <c r="B35" s="16" t="s">
        <v>44</v>
      </c>
      <c r="C35" s="8">
        <v>5.0</v>
      </c>
      <c r="D35" s="9">
        <v>5.0</v>
      </c>
      <c r="E35" s="16">
        <v>0.0</v>
      </c>
      <c r="F35" s="9">
        <v>5.0</v>
      </c>
      <c r="G35" s="9">
        <v>5.0</v>
      </c>
      <c r="H35" s="9">
        <v>5.0</v>
      </c>
      <c r="I35" s="9">
        <v>13174.0</v>
      </c>
      <c r="J35" s="9">
        <v>0.0</v>
      </c>
      <c r="K35" s="10">
        <f t="shared" si="5"/>
        <v>0</v>
      </c>
      <c r="L35" s="10">
        <f t="shared" si="6"/>
        <v>0</v>
      </c>
      <c r="M35" s="10">
        <f t="shared" si="7"/>
        <v>0</v>
      </c>
      <c r="N35" s="10">
        <f t="shared" si="8"/>
        <v>0</v>
      </c>
      <c r="O35" s="17"/>
      <c r="P35" s="17"/>
      <c r="R35" s="17"/>
      <c r="U35" s="12"/>
      <c r="V35" s="12"/>
      <c r="W35" s="12"/>
      <c r="X35" s="15"/>
    </row>
    <row r="36">
      <c r="A36" s="16" t="s">
        <v>39</v>
      </c>
      <c r="B36" s="16" t="s">
        <v>45</v>
      </c>
      <c r="C36" s="8">
        <v>4.0</v>
      </c>
      <c r="D36" s="9">
        <v>4.0</v>
      </c>
      <c r="E36" s="16">
        <v>0.0</v>
      </c>
      <c r="F36" s="9">
        <v>4.0</v>
      </c>
      <c r="G36" s="9">
        <v>4.0</v>
      </c>
      <c r="H36" s="9">
        <v>4.0</v>
      </c>
      <c r="I36" s="9">
        <v>13608.3</v>
      </c>
      <c r="J36" s="9">
        <v>0.0</v>
      </c>
      <c r="K36" s="10">
        <f t="shared" si="5"/>
        <v>0</v>
      </c>
      <c r="L36" s="10">
        <f t="shared" si="6"/>
        <v>0</v>
      </c>
      <c r="M36" s="10">
        <f t="shared" si="7"/>
        <v>0</v>
      </c>
      <c r="N36" s="10">
        <f t="shared" si="8"/>
        <v>0</v>
      </c>
      <c r="O36" s="17"/>
      <c r="P36" s="17"/>
      <c r="R36" s="17"/>
      <c r="U36" s="12"/>
      <c r="V36" s="12"/>
      <c r="W36" s="12"/>
      <c r="X36" s="15"/>
    </row>
    <row r="37">
      <c r="A37" s="16" t="s">
        <v>39</v>
      </c>
      <c r="B37" s="16" t="s">
        <v>46</v>
      </c>
      <c r="C37" s="8">
        <v>6.0</v>
      </c>
      <c r="D37" s="9">
        <v>7.0</v>
      </c>
      <c r="E37" s="16">
        <v>0.0</v>
      </c>
      <c r="F37" s="9">
        <v>6.0</v>
      </c>
      <c r="G37" s="9">
        <v>6.0</v>
      </c>
      <c r="H37" s="9">
        <v>7.0</v>
      </c>
      <c r="I37" s="9">
        <v>13384.4</v>
      </c>
      <c r="J37" s="9">
        <v>0.0</v>
      </c>
      <c r="K37" s="10">
        <f t="shared" si="5"/>
        <v>0</v>
      </c>
      <c r="L37" s="10">
        <f t="shared" si="6"/>
        <v>-14.28571429</v>
      </c>
      <c r="M37" s="10">
        <f t="shared" si="7"/>
        <v>-14.28571429</v>
      </c>
      <c r="N37" s="10">
        <f t="shared" si="8"/>
        <v>-14.28571429</v>
      </c>
      <c r="O37" s="17"/>
      <c r="P37" s="17"/>
      <c r="R37" s="17"/>
      <c r="U37" s="12"/>
      <c r="V37" s="12"/>
      <c r="W37" s="12"/>
      <c r="X37" s="15"/>
    </row>
    <row r="38">
      <c r="A38" s="16" t="s">
        <v>39</v>
      </c>
      <c r="B38" s="16" t="s">
        <v>47</v>
      </c>
      <c r="C38" s="8">
        <v>6.0</v>
      </c>
      <c r="D38" s="9">
        <v>6.0</v>
      </c>
      <c r="E38" s="16">
        <v>0.0</v>
      </c>
      <c r="F38" s="9">
        <v>6.0</v>
      </c>
      <c r="G38" s="9">
        <v>6.0</v>
      </c>
      <c r="H38" s="9">
        <v>6.0</v>
      </c>
      <c r="I38" s="9">
        <v>13549.9</v>
      </c>
      <c r="J38" s="9">
        <v>0.0</v>
      </c>
      <c r="K38" s="10">
        <f t="shared" si="5"/>
        <v>0</v>
      </c>
      <c r="L38" s="10">
        <f t="shared" si="6"/>
        <v>0</v>
      </c>
      <c r="M38" s="10">
        <f t="shared" si="7"/>
        <v>0</v>
      </c>
      <c r="N38" s="10">
        <f t="shared" si="8"/>
        <v>0</v>
      </c>
      <c r="O38" s="17"/>
      <c r="P38" s="17"/>
      <c r="R38" s="17"/>
      <c r="U38" s="12"/>
      <c r="V38" s="12"/>
      <c r="W38" s="12"/>
      <c r="X38" s="15"/>
    </row>
    <row r="39">
      <c r="A39" s="16" t="s">
        <v>39</v>
      </c>
      <c r="B39" s="16" t="s">
        <v>48</v>
      </c>
      <c r="C39" s="8">
        <v>6.0</v>
      </c>
      <c r="D39" s="9">
        <v>7.0</v>
      </c>
      <c r="E39" s="16">
        <v>0.0</v>
      </c>
      <c r="F39" s="9">
        <v>6.0</v>
      </c>
      <c r="G39" s="9">
        <v>6.0</v>
      </c>
      <c r="H39" s="9">
        <v>7.0</v>
      </c>
      <c r="I39" s="9">
        <v>13623.8</v>
      </c>
      <c r="J39" s="9">
        <v>0.0</v>
      </c>
      <c r="K39" s="10">
        <f t="shared" si="5"/>
        <v>0</v>
      </c>
      <c r="L39" s="10">
        <f t="shared" si="6"/>
        <v>-14.28571429</v>
      </c>
      <c r="M39" s="10">
        <f t="shared" si="7"/>
        <v>-14.28571429</v>
      </c>
      <c r="N39" s="10">
        <f t="shared" si="8"/>
        <v>-14.28571429</v>
      </c>
      <c r="O39" s="17"/>
      <c r="P39" s="17"/>
      <c r="R39" s="17"/>
      <c r="U39" s="12"/>
      <c r="V39" s="12"/>
      <c r="W39" s="12"/>
      <c r="X39" s="15"/>
    </row>
    <row r="40">
      <c r="A40" s="16" t="s">
        <v>39</v>
      </c>
      <c r="B40" s="16" t="s">
        <v>49</v>
      </c>
      <c r="C40" s="8">
        <v>5.0</v>
      </c>
      <c r="D40" s="9">
        <v>5.0</v>
      </c>
      <c r="E40" s="16">
        <v>0.0</v>
      </c>
      <c r="F40" s="9">
        <v>5.0</v>
      </c>
      <c r="G40" s="9">
        <v>5.0</v>
      </c>
      <c r="H40" s="9">
        <v>5.0</v>
      </c>
      <c r="I40" s="9">
        <v>14093.1</v>
      </c>
      <c r="J40" s="9">
        <v>0.0</v>
      </c>
      <c r="K40" s="10">
        <f t="shared" si="5"/>
        <v>0</v>
      </c>
      <c r="L40" s="10">
        <f t="shared" si="6"/>
        <v>0</v>
      </c>
      <c r="M40" s="10">
        <f t="shared" si="7"/>
        <v>0</v>
      </c>
      <c r="N40" s="10">
        <f t="shared" si="8"/>
        <v>0</v>
      </c>
      <c r="O40" s="17"/>
      <c r="P40" s="17"/>
      <c r="R40" s="17"/>
      <c r="U40" s="12"/>
      <c r="V40" s="12"/>
      <c r="W40" s="12"/>
      <c r="X40" s="15"/>
    </row>
    <row r="41">
      <c r="A41" s="16" t="s">
        <v>39</v>
      </c>
      <c r="B41" s="16" t="s">
        <v>50</v>
      </c>
      <c r="C41" s="8">
        <v>6.0</v>
      </c>
      <c r="D41" s="9">
        <v>6.0</v>
      </c>
      <c r="E41" s="16">
        <v>0.0</v>
      </c>
      <c r="F41" s="9">
        <v>6.0</v>
      </c>
      <c r="G41" s="9">
        <v>6.0</v>
      </c>
      <c r="H41" s="9">
        <v>8.0</v>
      </c>
      <c r="I41" s="9">
        <v>14146.7</v>
      </c>
      <c r="J41" s="9">
        <v>0.0</v>
      </c>
      <c r="K41" s="10">
        <f t="shared" si="5"/>
        <v>0</v>
      </c>
      <c r="L41" s="10">
        <f t="shared" si="6"/>
        <v>0</v>
      </c>
      <c r="M41" s="10">
        <f t="shared" si="7"/>
        <v>0</v>
      </c>
      <c r="N41" s="10">
        <f t="shared" si="8"/>
        <v>-25</v>
      </c>
      <c r="O41" s="17"/>
      <c r="P41" s="17"/>
      <c r="R41" s="17"/>
      <c r="U41" s="12"/>
      <c r="V41" s="12"/>
      <c r="W41" s="12"/>
      <c r="X41" s="15"/>
    </row>
    <row r="42">
      <c r="A42" s="16" t="s">
        <v>39</v>
      </c>
      <c r="B42" s="16" t="s">
        <v>51</v>
      </c>
      <c r="C42" s="8">
        <v>5.0</v>
      </c>
      <c r="D42" s="9">
        <v>5.0</v>
      </c>
      <c r="E42" s="16">
        <v>0.0</v>
      </c>
      <c r="F42" s="9">
        <v>5.0</v>
      </c>
      <c r="G42" s="9">
        <v>5.0</v>
      </c>
      <c r="H42" s="9">
        <v>8.0</v>
      </c>
      <c r="I42" s="9">
        <v>14249.9</v>
      </c>
      <c r="J42" s="9">
        <v>0.0</v>
      </c>
      <c r="K42" s="10">
        <f t="shared" si="5"/>
        <v>0</v>
      </c>
      <c r="L42" s="10">
        <f t="shared" si="6"/>
        <v>0</v>
      </c>
      <c r="M42" s="10">
        <f t="shared" si="7"/>
        <v>0</v>
      </c>
      <c r="N42" s="10">
        <f t="shared" si="8"/>
        <v>-37.5</v>
      </c>
      <c r="O42" s="17"/>
      <c r="P42" s="17"/>
      <c r="R42" s="17"/>
      <c r="U42" s="12"/>
      <c r="V42" s="12"/>
      <c r="W42" s="12"/>
      <c r="X42" s="15"/>
    </row>
    <row r="43">
      <c r="A43" s="16" t="s">
        <v>39</v>
      </c>
      <c r="B43" s="16" t="s">
        <v>52</v>
      </c>
      <c r="C43" s="8">
        <v>6.0</v>
      </c>
      <c r="D43" s="9">
        <v>7.0</v>
      </c>
      <c r="E43" s="16">
        <v>0.0</v>
      </c>
      <c r="F43" s="9">
        <v>6.0</v>
      </c>
      <c r="G43" s="9">
        <v>6.0</v>
      </c>
      <c r="H43" s="9">
        <v>7.0</v>
      </c>
      <c r="I43" s="9">
        <v>13888.0</v>
      </c>
      <c r="J43" s="9">
        <v>0.0</v>
      </c>
      <c r="K43" s="10">
        <f t="shared" si="5"/>
        <v>0</v>
      </c>
      <c r="L43" s="10">
        <f t="shared" si="6"/>
        <v>-14.28571429</v>
      </c>
      <c r="M43" s="10">
        <f t="shared" si="7"/>
        <v>-14.28571429</v>
      </c>
      <c r="N43" s="10">
        <f t="shared" si="8"/>
        <v>-14.28571429</v>
      </c>
      <c r="O43" s="17"/>
      <c r="P43" s="17"/>
      <c r="R43" s="17"/>
      <c r="U43" s="12"/>
      <c r="V43" s="12"/>
      <c r="W43" s="12"/>
      <c r="X43" s="15"/>
    </row>
    <row r="44">
      <c r="A44" s="16" t="s">
        <v>39</v>
      </c>
      <c r="B44" s="16" t="s">
        <v>53</v>
      </c>
      <c r="C44" s="8">
        <v>5.0</v>
      </c>
      <c r="D44" s="9">
        <v>5.0</v>
      </c>
      <c r="E44" s="16">
        <v>0.0</v>
      </c>
      <c r="F44" s="9">
        <v>5.0</v>
      </c>
      <c r="G44" s="9">
        <v>5.0</v>
      </c>
      <c r="H44" s="9">
        <v>6.0</v>
      </c>
      <c r="I44" s="9">
        <v>14000.7</v>
      </c>
      <c r="J44" s="9">
        <v>0.0</v>
      </c>
      <c r="K44" s="10">
        <f t="shared" si="5"/>
        <v>0</v>
      </c>
      <c r="L44" s="10">
        <f t="shared" si="6"/>
        <v>0</v>
      </c>
      <c r="M44" s="10">
        <f t="shared" si="7"/>
        <v>0</v>
      </c>
      <c r="N44" s="10">
        <f t="shared" si="8"/>
        <v>-16.66666667</v>
      </c>
      <c r="O44" s="17"/>
      <c r="P44" s="17"/>
      <c r="R44" s="17"/>
      <c r="U44" s="12"/>
      <c r="V44" s="12"/>
      <c r="W44" s="12"/>
      <c r="X44" s="15"/>
    </row>
    <row r="45">
      <c r="A45" s="16" t="s">
        <v>39</v>
      </c>
      <c r="B45" s="16" t="s">
        <v>54</v>
      </c>
      <c r="C45" s="8">
        <v>6.0</v>
      </c>
      <c r="D45" s="9">
        <v>6.0</v>
      </c>
      <c r="E45" s="16">
        <v>0.0</v>
      </c>
      <c r="F45" s="9">
        <v>6.0</v>
      </c>
      <c r="G45" s="9">
        <v>6.0</v>
      </c>
      <c r="H45" s="9">
        <v>7.0</v>
      </c>
      <c r="I45" s="9">
        <v>13458.8</v>
      </c>
      <c r="J45" s="9">
        <v>0.0</v>
      </c>
      <c r="K45" s="10">
        <f t="shared" si="5"/>
        <v>0</v>
      </c>
      <c r="L45" s="10">
        <f t="shared" si="6"/>
        <v>0</v>
      </c>
      <c r="M45" s="10">
        <f t="shared" si="7"/>
        <v>0</v>
      </c>
      <c r="N45" s="10">
        <f t="shared" si="8"/>
        <v>-14.28571429</v>
      </c>
      <c r="O45" s="17"/>
      <c r="P45" s="17"/>
      <c r="R45" s="17"/>
      <c r="U45" s="12"/>
      <c r="V45" s="12"/>
      <c r="W45" s="12"/>
      <c r="X45" s="15"/>
    </row>
    <row r="46">
      <c r="A46" s="16" t="s">
        <v>39</v>
      </c>
      <c r="B46" s="16" t="s">
        <v>55</v>
      </c>
      <c r="C46" s="8">
        <v>7.0</v>
      </c>
      <c r="D46" s="9">
        <v>8.0</v>
      </c>
      <c r="E46" s="16">
        <v>0.0</v>
      </c>
      <c r="F46" s="9">
        <v>7.0</v>
      </c>
      <c r="G46" s="9">
        <v>7.0</v>
      </c>
      <c r="H46" s="9">
        <v>11.0</v>
      </c>
      <c r="I46" s="9">
        <v>15952.1</v>
      </c>
      <c r="J46" s="9">
        <v>0.0</v>
      </c>
      <c r="K46" s="10">
        <f t="shared" si="5"/>
        <v>0</v>
      </c>
      <c r="L46" s="10">
        <f t="shared" si="6"/>
        <v>-12.5</v>
      </c>
      <c r="M46" s="10">
        <f t="shared" si="7"/>
        <v>-12.5</v>
      </c>
      <c r="N46" s="10">
        <f t="shared" si="8"/>
        <v>-36.36363636</v>
      </c>
      <c r="O46" s="17"/>
      <c r="P46" s="17"/>
      <c r="R46" s="17"/>
      <c r="U46" s="12"/>
      <c r="V46" s="12"/>
      <c r="W46" s="12"/>
      <c r="X46" s="15"/>
    </row>
    <row r="47">
      <c r="A47" s="16" t="s">
        <v>39</v>
      </c>
      <c r="B47" s="16" t="s">
        <v>56</v>
      </c>
      <c r="C47" s="8">
        <v>9.0</v>
      </c>
      <c r="D47" s="9">
        <v>10.0</v>
      </c>
      <c r="E47" s="16">
        <v>0.0</v>
      </c>
      <c r="F47" s="9">
        <v>9.0</v>
      </c>
      <c r="G47" s="9">
        <v>9.0</v>
      </c>
      <c r="H47" s="9">
        <v>10.0</v>
      </c>
      <c r="I47" s="9">
        <v>14373.3</v>
      </c>
      <c r="J47" s="9">
        <v>0.0</v>
      </c>
      <c r="K47" s="10">
        <f t="shared" si="5"/>
        <v>0</v>
      </c>
      <c r="L47" s="10">
        <f t="shared" si="6"/>
        <v>-10</v>
      </c>
      <c r="M47" s="10">
        <f t="shared" si="7"/>
        <v>-10</v>
      </c>
      <c r="N47" s="10">
        <f t="shared" si="8"/>
        <v>-10</v>
      </c>
      <c r="O47" s="17"/>
      <c r="P47" s="17"/>
      <c r="R47" s="17"/>
      <c r="U47" s="12"/>
      <c r="V47" s="12"/>
      <c r="W47" s="12"/>
      <c r="X47" s="15"/>
    </row>
    <row r="48">
      <c r="A48" s="16" t="s">
        <v>39</v>
      </c>
      <c r="B48" s="16" t="s">
        <v>57</v>
      </c>
      <c r="C48" s="8">
        <v>11.0</v>
      </c>
      <c r="D48" s="9">
        <v>13.0</v>
      </c>
      <c r="E48" s="16">
        <v>0.0</v>
      </c>
      <c r="F48" s="9">
        <v>11.0</v>
      </c>
      <c r="G48" s="9">
        <v>11.0</v>
      </c>
      <c r="H48" s="9">
        <v>13.0</v>
      </c>
      <c r="I48" s="9">
        <v>14910.2</v>
      </c>
      <c r="J48" s="9">
        <v>0.0</v>
      </c>
      <c r="K48" s="10">
        <f t="shared" si="5"/>
        <v>0</v>
      </c>
      <c r="L48" s="10">
        <f t="shared" si="6"/>
        <v>-15.38461538</v>
      </c>
      <c r="M48" s="10">
        <f t="shared" si="7"/>
        <v>-15.38461538</v>
      </c>
      <c r="N48" s="10">
        <f t="shared" si="8"/>
        <v>-15.38461538</v>
      </c>
      <c r="O48" s="17"/>
      <c r="P48" s="17"/>
      <c r="R48" s="17"/>
      <c r="U48" s="12"/>
      <c r="V48" s="12"/>
      <c r="W48" s="12"/>
      <c r="X48" s="15"/>
    </row>
    <row r="49">
      <c r="A49" s="16" t="s">
        <v>39</v>
      </c>
      <c r="B49" s="16" t="s">
        <v>58</v>
      </c>
      <c r="C49" s="8">
        <v>9.0</v>
      </c>
      <c r="D49" s="9">
        <v>10.0</v>
      </c>
      <c r="E49" s="16">
        <v>0.0</v>
      </c>
      <c r="F49" s="9">
        <v>9.0</v>
      </c>
      <c r="G49" s="9">
        <v>9.0</v>
      </c>
      <c r="H49" s="9">
        <v>13.0</v>
      </c>
      <c r="I49" s="9">
        <v>15238.7</v>
      </c>
      <c r="J49" s="9">
        <v>0.0</v>
      </c>
      <c r="K49" s="10">
        <f t="shared" si="5"/>
        <v>0</v>
      </c>
      <c r="L49" s="10">
        <f t="shared" si="6"/>
        <v>-10</v>
      </c>
      <c r="M49" s="10">
        <f t="shared" si="7"/>
        <v>-10</v>
      </c>
      <c r="N49" s="10">
        <f t="shared" si="8"/>
        <v>-30.76923077</v>
      </c>
      <c r="O49" s="17"/>
      <c r="P49" s="17"/>
      <c r="R49" s="17"/>
      <c r="U49" s="12"/>
      <c r="V49" s="12"/>
      <c r="W49" s="12"/>
      <c r="X49" s="15"/>
    </row>
    <row r="50">
      <c r="A50" s="16" t="s">
        <v>39</v>
      </c>
      <c r="B50" s="16" t="s">
        <v>59</v>
      </c>
      <c r="C50" s="8">
        <v>13.0</v>
      </c>
      <c r="D50" s="9">
        <v>13.0</v>
      </c>
      <c r="E50" s="16">
        <v>0.0</v>
      </c>
      <c r="F50" s="9">
        <v>13.0</v>
      </c>
      <c r="G50" s="9">
        <v>13.0</v>
      </c>
      <c r="H50" s="9">
        <v>18.0</v>
      </c>
      <c r="I50" s="9">
        <v>15603.4</v>
      </c>
      <c r="J50" s="9">
        <v>0.0</v>
      </c>
      <c r="K50" s="10">
        <f t="shared" si="5"/>
        <v>0</v>
      </c>
      <c r="L50" s="10">
        <f t="shared" si="6"/>
        <v>0</v>
      </c>
      <c r="M50" s="10">
        <f t="shared" si="7"/>
        <v>0</v>
      </c>
      <c r="N50" s="10">
        <f t="shared" si="8"/>
        <v>-27.77777778</v>
      </c>
      <c r="O50" s="17"/>
      <c r="P50" s="17"/>
      <c r="R50" s="17"/>
      <c r="U50" s="12"/>
      <c r="V50" s="12"/>
      <c r="W50" s="12"/>
      <c r="X50" s="15"/>
    </row>
    <row r="51">
      <c r="A51" s="16" t="s">
        <v>39</v>
      </c>
      <c r="B51" s="16" t="s">
        <v>60</v>
      </c>
      <c r="C51" s="8">
        <v>11.0</v>
      </c>
      <c r="D51" s="9">
        <v>12.0</v>
      </c>
      <c r="E51" s="16">
        <v>0.0</v>
      </c>
      <c r="F51" s="9">
        <v>11.0</v>
      </c>
      <c r="G51" s="9">
        <v>11.1</v>
      </c>
      <c r="H51" s="9">
        <v>16.0</v>
      </c>
      <c r="I51" s="9">
        <v>14633.3</v>
      </c>
      <c r="J51" s="9">
        <v>0.32</v>
      </c>
      <c r="K51" s="10">
        <f t="shared" si="5"/>
        <v>0</v>
      </c>
      <c r="L51" s="10">
        <f t="shared" si="6"/>
        <v>-8.333333333</v>
      </c>
      <c r="M51" s="10">
        <f t="shared" si="7"/>
        <v>-7.5</v>
      </c>
      <c r="N51" s="10">
        <f t="shared" si="8"/>
        <v>-30.625</v>
      </c>
      <c r="O51" s="17"/>
      <c r="P51" s="17"/>
      <c r="R51" s="17"/>
      <c r="U51" s="12"/>
      <c r="V51" s="12"/>
      <c r="W51" s="12"/>
      <c r="X51" s="15"/>
    </row>
    <row r="52">
      <c r="A52" s="16" t="s">
        <v>39</v>
      </c>
      <c r="B52" s="16" t="s">
        <v>61</v>
      </c>
      <c r="C52" s="8">
        <v>11.0</v>
      </c>
      <c r="D52" s="9">
        <v>12.0</v>
      </c>
      <c r="E52" s="16">
        <v>0.0</v>
      </c>
      <c r="F52" s="9">
        <v>11.0</v>
      </c>
      <c r="G52" s="9">
        <v>11.0</v>
      </c>
      <c r="H52" s="9">
        <v>15.0</v>
      </c>
      <c r="I52" s="9">
        <v>15003.3</v>
      </c>
      <c r="J52" s="9">
        <v>0.0</v>
      </c>
      <c r="K52" s="10">
        <f t="shared" si="5"/>
        <v>0</v>
      </c>
      <c r="L52" s="10">
        <f t="shared" si="6"/>
        <v>-8.333333333</v>
      </c>
      <c r="M52" s="10">
        <f t="shared" si="7"/>
        <v>-8.333333333</v>
      </c>
      <c r="N52" s="10">
        <f t="shared" si="8"/>
        <v>-26.66666667</v>
      </c>
      <c r="O52" s="17"/>
      <c r="P52" s="17"/>
      <c r="R52" s="17"/>
      <c r="U52" s="12"/>
      <c r="V52" s="12"/>
      <c r="W52" s="12"/>
      <c r="X52" s="15"/>
    </row>
    <row r="53">
      <c r="A53" s="16" t="s">
        <v>39</v>
      </c>
      <c r="B53" s="16" t="s">
        <v>62</v>
      </c>
      <c r="C53" s="8">
        <v>12.0</v>
      </c>
      <c r="D53" s="9">
        <v>14.0</v>
      </c>
      <c r="E53" s="16">
        <v>0.0</v>
      </c>
      <c r="F53" s="9">
        <v>12.0</v>
      </c>
      <c r="G53" s="9">
        <v>12.0</v>
      </c>
      <c r="H53" s="9">
        <v>16.0</v>
      </c>
      <c r="I53" s="9">
        <v>17441.7</v>
      </c>
      <c r="J53" s="28">
        <v>0.0</v>
      </c>
      <c r="K53" s="10">
        <f t="shared" si="5"/>
        <v>0</v>
      </c>
      <c r="L53" s="10">
        <f t="shared" si="6"/>
        <v>-14.28571429</v>
      </c>
      <c r="M53" s="10">
        <f t="shared" si="7"/>
        <v>-14.28571429</v>
      </c>
      <c r="N53" s="10">
        <f t="shared" si="8"/>
        <v>-25</v>
      </c>
      <c r="O53" s="17"/>
      <c r="P53" s="17"/>
      <c r="R53" s="17"/>
      <c r="U53" s="12"/>
      <c r="V53" s="12"/>
      <c r="W53" s="12"/>
      <c r="X53" s="15"/>
    </row>
    <row r="54">
      <c r="A54" s="16" t="s">
        <v>39</v>
      </c>
      <c r="B54" s="16" t="s">
        <v>63</v>
      </c>
      <c r="C54" s="8">
        <v>17.0</v>
      </c>
      <c r="D54" s="9">
        <v>21.0</v>
      </c>
      <c r="E54" s="16">
        <v>0.0</v>
      </c>
      <c r="F54" s="9">
        <v>17.0</v>
      </c>
      <c r="G54" s="9">
        <v>17.1</v>
      </c>
      <c r="H54" s="9">
        <v>25.0</v>
      </c>
      <c r="I54" s="9">
        <v>16384.8</v>
      </c>
      <c r="J54" s="9">
        <v>0.32</v>
      </c>
      <c r="K54" s="10">
        <f t="shared" si="5"/>
        <v>0</v>
      </c>
      <c r="L54" s="10">
        <f t="shared" si="6"/>
        <v>-19.04761905</v>
      </c>
      <c r="M54" s="10">
        <f t="shared" si="7"/>
        <v>-18.57142857</v>
      </c>
      <c r="N54" s="10">
        <f t="shared" si="8"/>
        <v>-31.6</v>
      </c>
      <c r="O54" s="22"/>
      <c r="P54" s="22"/>
      <c r="R54" s="22"/>
      <c r="U54" s="23"/>
      <c r="V54" s="15"/>
      <c r="W54" s="15"/>
      <c r="X54" s="15"/>
    </row>
    <row r="55">
      <c r="A55" s="18" t="s">
        <v>38</v>
      </c>
      <c r="B55" s="19"/>
      <c r="C55" s="20"/>
      <c r="D55" s="20"/>
      <c r="E55" s="20"/>
      <c r="F55" s="21"/>
      <c r="G55" s="21"/>
      <c r="H55" s="20"/>
      <c r="I55" s="21"/>
      <c r="J55" s="20"/>
      <c r="K55" s="29">
        <v>0.0</v>
      </c>
      <c r="L55" s="10">
        <f>IFERROR(__xludf.DUMMYFUNCTION("AVERAGE( FILTER( VALUE(L31:L54) , VALUE(L31:L54) &lt;&gt; 0 ) )"),-12.795454545454545)</f>
        <v>-12.79545455</v>
      </c>
      <c r="M55" s="10">
        <f>IFERROR(__xludf.DUMMYFUNCTION("AVERAGE( FILTER( VALUE(M31:M54) , VALUE(M31:M54) &lt;&gt; 0 ) )"),-12.676363636363636)</f>
        <v>-12.67636364</v>
      </c>
      <c r="N55" s="10">
        <f>IFERROR(__xludf.DUMMYFUNCTION("AVERAGE( FILTER( VALUE(N31:N54) , VALUE(N31:N54) &lt;&gt; 0 ) )"),-23.157500000000002)</f>
        <v>-23.1575</v>
      </c>
      <c r="O55" s="22"/>
      <c r="P55" s="22"/>
      <c r="R55" s="22"/>
      <c r="U55" s="23"/>
      <c r="V55" s="15"/>
      <c r="W55" s="15"/>
      <c r="X55" s="15"/>
    </row>
    <row r="56">
      <c r="A56" s="4"/>
      <c r="B56" s="5"/>
      <c r="C56" s="29"/>
      <c r="D56" s="29"/>
      <c r="E56" s="29"/>
      <c r="F56" s="9"/>
      <c r="G56" s="9"/>
      <c r="H56" s="8"/>
      <c r="I56" s="9"/>
      <c r="J56" s="9"/>
      <c r="K56" s="10"/>
      <c r="L56" s="10"/>
      <c r="M56" s="10"/>
      <c r="N56" s="10"/>
      <c r="O56" s="22"/>
      <c r="P56" s="22"/>
      <c r="R56" s="22"/>
      <c r="U56" s="23"/>
      <c r="V56" s="15"/>
      <c r="W56" s="15"/>
      <c r="X56" s="15"/>
    </row>
    <row r="57">
      <c r="A57" s="4"/>
      <c r="B57" s="5"/>
      <c r="C57" s="29"/>
      <c r="D57" s="29"/>
      <c r="E57" s="29"/>
      <c r="F57" s="9"/>
      <c r="G57" s="9"/>
      <c r="H57" s="8"/>
      <c r="I57" s="9"/>
      <c r="J57" s="9"/>
      <c r="K57" s="10"/>
      <c r="L57" s="10"/>
      <c r="M57" s="10"/>
      <c r="N57" s="10"/>
      <c r="O57" s="22"/>
      <c r="P57" s="22"/>
      <c r="R57" s="22"/>
      <c r="U57" s="23"/>
      <c r="V57" s="15"/>
      <c r="W57" s="15"/>
      <c r="X57" s="15"/>
    </row>
    <row r="58">
      <c r="A58" s="4"/>
      <c r="B58" s="5"/>
      <c r="C58" s="6" t="s">
        <v>0</v>
      </c>
      <c r="D58" s="6" t="s">
        <v>1</v>
      </c>
      <c r="F58" s="6" t="s">
        <v>2</v>
      </c>
      <c r="K58" s="5"/>
      <c r="L58" s="5"/>
      <c r="M58" s="5"/>
      <c r="N58" s="5"/>
      <c r="O58" s="22"/>
      <c r="P58" s="22"/>
      <c r="R58" s="22"/>
      <c r="U58" s="23"/>
      <c r="V58" s="15"/>
      <c r="W58" s="15"/>
      <c r="X58" s="15"/>
    </row>
    <row r="59">
      <c r="A59" s="6" t="s">
        <v>3</v>
      </c>
      <c r="B59" s="6" t="s">
        <v>4</v>
      </c>
      <c r="C59" s="6" t="s">
        <v>5</v>
      </c>
      <c r="D59" s="6" t="s">
        <v>5</v>
      </c>
      <c r="E59" s="6" t="s">
        <v>6</v>
      </c>
      <c r="F59" s="6" t="s">
        <v>7</v>
      </c>
      <c r="G59" s="6" t="s">
        <v>8</v>
      </c>
      <c r="H59" s="6" t="s">
        <v>9</v>
      </c>
      <c r="I59" s="6" t="s">
        <v>6</v>
      </c>
      <c r="J59" s="6" t="s">
        <v>10</v>
      </c>
      <c r="K59" s="6" t="s">
        <v>11</v>
      </c>
      <c r="L59" s="6" t="s">
        <v>12</v>
      </c>
      <c r="M59" s="6" t="s">
        <v>13</v>
      </c>
      <c r="N59" s="6" t="s">
        <v>14</v>
      </c>
      <c r="O59" s="22"/>
      <c r="P59" s="22"/>
      <c r="R59" s="22"/>
      <c r="U59" s="23"/>
      <c r="V59" s="15"/>
      <c r="W59" s="15"/>
      <c r="X59" s="15"/>
    </row>
    <row r="60">
      <c r="A60" s="30" t="s">
        <v>64</v>
      </c>
      <c r="B60" s="7" t="s">
        <v>65</v>
      </c>
      <c r="C60" s="31">
        <v>5.5</v>
      </c>
      <c r="D60" s="31">
        <v>5.8</v>
      </c>
      <c r="E60" s="31">
        <v>0.0</v>
      </c>
      <c r="F60" s="9">
        <v>5.5</v>
      </c>
      <c r="G60" s="9">
        <v>5.5</v>
      </c>
      <c r="H60" s="32">
        <v>5.6</v>
      </c>
      <c r="I60" s="9">
        <v>13092.880000000001</v>
      </c>
      <c r="J60" s="9">
        <v>0.0</v>
      </c>
      <c r="K60" s="10">
        <f t="shared" ref="K60:K89" si="9">(F60 - C60) / C60 * 100</f>
        <v>0</v>
      </c>
      <c r="L60" s="10">
        <f t="shared" ref="L60:L89" si="10">(F60 - D60) / D60 * 100</f>
        <v>-5.172413793</v>
      </c>
      <c r="M60" s="10">
        <f t="shared" ref="M60:M89" si="11">(G60 - D60) / D60 * 100</f>
        <v>-5.172413793</v>
      </c>
      <c r="N60" s="10">
        <f t="shared" ref="N60:N89" si="12">(G60 - H60) / H60 * 100</f>
        <v>-1.785714286</v>
      </c>
      <c r="O60" s="22"/>
      <c r="P60" s="22"/>
      <c r="R60" s="22"/>
      <c r="U60" s="23"/>
      <c r="V60" s="15"/>
      <c r="W60" s="15"/>
      <c r="X60" s="15"/>
    </row>
    <row r="61">
      <c r="A61" s="30" t="s">
        <v>64</v>
      </c>
      <c r="B61" s="7" t="s">
        <v>66</v>
      </c>
      <c r="C61" s="31">
        <v>6.2</v>
      </c>
      <c r="D61" s="31">
        <v>6.8</v>
      </c>
      <c r="E61" s="31">
        <v>0.0</v>
      </c>
      <c r="F61" s="9">
        <v>6.2</v>
      </c>
      <c r="G61" s="9">
        <v>6.2</v>
      </c>
      <c r="H61" s="8">
        <v>7.3</v>
      </c>
      <c r="I61" s="9">
        <v>13262.9</v>
      </c>
      <c r="J61" s="9">
        <v>0.0</v>
      </c>
      <c r="K61" s="10">
        <f t="shared" si="9"/>
        <v>0</v>
      </c>
      <c r="L61" s="10">
        <f t="shared" si="10"/>
        <v>-8.823529412</v>
      </c>
      <c r="M61" s="10">
        <f t="shared" si="11"/>
        <v>-8.823529412</v>
      </c>
      <c r="N61" s="10">
        <f t="shared" si="12"/>
        <v>-15.06849315</v>
      </c>
      <c r="O61" s="22"/>
      <c r="P61" s="22"/>
      <c r="R61" s="22"/>
      <c r="U61" s="23"/>
      <c r="V61" s="15"/>
      <c r="W61" s="15"/>
      <c r="X61" s="15"/>
    </row>
    <row r="62">
      <c r="A62" s="30" t="s">
        <v>64</v>
      </c>
      <c r="B62" s="7" t="s">
        <v>67</v>
      </c>
      <c r="C62" s="31">
        <v>6.1</v>
      </c>
      <c r="D62" s="31">
        <v>6.9</v>
      </c>
      <c r="E62" s="31">
        <v>0.0</v>
      </c>
      <c r="F62" s="9">
        <v>6.1</v>
      </c>
      <c r="G62" s="9">
        <v>6.1</v>
      </c>
      <c r="H62" s="8">
        <v>8.3</v>
      </c>
      <c r="I62" s="9">
        <v>13539.09</v>
      </c>
      <c r="J62" s="9">
        <v>0.0</v>
      </c>
      <c r="K62" s="10">
        <f t="shared" si="9"/>
        <v>0</v>
      </c>
      <c r="L62" s="10">
        <f t="shared" si="10"/>
        <v>-11.5942029</v>
      </c>
      <c r="M62" s="10">
        <f t="shared" si="11"/>
        <v>-11.5942029</v>
      </c>
      <c r="N62" s="10">
        <f t="shared" si="12"/>
        <v>-26.5060241</v>
      </c>
      <c r="O62" s="22"/>
      <c r="P62" s="22"/>
      <c r="R62" s="22"/>
      <c r="U62" s="23"/>
      <c r="V62" s="15"/>
      <c r="W62" s="15"/>
      <c r="X62" s="15"/>
    </row>
    <row r="63">
      <c r="A63" s="30" t="s">
        <v>64</v>
      </c>
      <c r="B63" s="7" t="s">
        <v>68</v>
      </c>
      <c r="C63" s="31">
        <v>7.7</v>
      </c>
      <c r="D63" s="31">
        <v>8.3</v>
      </c>
      <c r="E63" s="31">
        <v>0.0</v>
      </c>
      <c r="F63" s="9">
        <v>7.7</v>
      </c>
      <c r="G63" s="9">
        <v>7.7</v>
      </c>
      <c r="H63" s="8">
        <v>9.2</v>
      </c>
      <c r="I63" s="9">
        <v>13896.48</v>
      </c>
      <c r="J63" s="9">
        <v>0.0</v>
      </c>
      <c r="K63" s="10">
        <f t="shared" si="9"/>
        <v>0</v>
      </c>
      <c r="L63" s="10">
        <f t="shared" si="10"/>
        <v>-7.228915663</v>
      </c>
      <c r="M63" s="10">
        <f t="shared" si="11"/>
        <v>-7.228915663</v>
      </c>
      <c r="N63" s="10">
        <f t="shared" si="12"/>
        <v>-16.30434783</v>
      </c>
      <c r="O63" s="22"/>
      <c r="P63" s="22"/>
      <c r="R63" s="22"/>
      <c r="U63" s="23"/>
      <c r="V63" s="15"/>
      <c r="W63" s="15"/>
      <c r="X63" s="15"/>
    </row>
    <row r="64">
      <c r="A64" s="30" t="s">
        <v>64</v>
      </c>
      <c r="B64" s="33" t="s">
        <v>69</v>
      </c>
      <c r="C64" s="31">
        <v>8.2</v>
      </c>
      <c r="D64" s="31">
        <v>8.6</v>
      </c>
      <c r="E64" s="31">
        <v>0.0</v>
      </c>
      <c r="F64" s="9">
        <v>8.2</v>
      </c>
      <c r="G64" s="9">
        <v>8.2</v>
      </c>
      <c r="H64" s="8">
        <v>9.8</v>
      </c>
      <c r="I64" s="9">
        <v>14249.4</v>
      </c>
      <c r="J64" s="9">
        <v>0.0</v>
      </c>
      <c r="K64" s="10">
        <f t="shared" si="9"/>
        <v>0</v>
      </c>
      <c r="L64" s="10">
        <f t="shared" si="10"/>
        <v>-4.651162791</v>
      </c>
      <c r="M64" s="10">
        <f t="shared" si="11"/>
        <v>-4.651162791</v>
      </c>
      <c r="N64" s="10">
        <f t="shared" si="12"/>
        <v>-16.32653061</v>
      </c>
      <c r="O64" s="22"/>
      <c r="P64" s="22"/>
      <c r="R64" s="22"/>
      <c r="U64" s="23"/>
      <c r="V64" s="15"/>
      <c r="W64" s="15"/>
      <c r="X64" s="15"/>
    </row>
    <row r="65">
      <c r="A65" s="30" t="s">
        <v>64</v>
      </c>
      <c r="B65" s="33" t="s">
        <v>70</v>
      </c>
      <c r="C65" s="31">
        <v>6.6</v>
      </c>
      <c r="D65" s="31">
        <v>6.6</v>
      </c>
      <c r="E65" s="31">
        <v>0.0</v>
      </c>
      <c r="F65" s="9">
        <v>6.6</v>
      </c>
      <c r="G65" s="9">
        <v>6.6</v>
      </c>
      <c r="H65" s="8">
        <v>6.6</v>
      </c>
      <c r="I65" s="9">
        <v>13385.23</v>
      </c>
      <c r="J65" s="9">
        <v>0.0</v>
      </c>
      <c r="K65" s="10">
        <f t="shared" si="9"/>
        <v>0</v>
      </c>
      <c r="L65" s="10">
        <f t="shared" si="10"/>
        <v>0</v>
      </c>
      <c r="M65" s="10">
        <f t="shared" si="11"/>
        <v>0</v>
      </c>
      <c r="N65" s="10">
        <f t="shared" si="12"/>
        <v>0</v>
      </c>
      <c r="O65" s="22"/>
      <c r="P65" s="22"/>
      <c r="R65" s="22"/>
      <c r="U65" s="23"/>
      <c r="V65" s="15"/>
      <c r="W65" s="15"/>
      <c r="X65" s="15"/>
    </row>
    <row r="66">
      <c r="A66" s="30" t="s">
        <v>64</v>
      </c>
      <c r="B66" s="33" t="s">
        <v>71</v>
      </c>
      <c r="C66" s="31">
        <v>7.2</v>
      </c>
      <c r="D66" s="31">
        <v>8.2</v>
      </c>
      <c r="E66" s="31">
        <v>0.0</v>
      </c>
      <c r="F66" s="9">
        <v>7.2</v>
      </c>
      <c r="G66" s="9">
        <v>7.2</v>
      </c>
      <c r="H66" s="8">
        <v>8.6</v>
      </c>
      <c r="I66" s="9">
        <v>13655.86</v>
      </c>
      <c r="J66" s="9">
        <v>0.0</v>
      </c>
      <c r="K66" s="10">
        <f t="shared" si="9"/>
        <v>0</v>
      </c>
      <c r="L66" s="10">
        <f t="shared" si="10"/>
        <v>-12.19512195</v>
      </c>
      <c r="M66" s="10">
        <f t="shared" si="11"/>
        <v>-12.19512195</v>
      </c>
      <c r="N66" s="10">
        <f t="shared" si="12"/>
        <v>-16.27906977</v>
      </c>
      <c r="O66" s="22"/>
      <c r="P66" s="22"/>
      <c r="R66" s="22"/>
      <c r="U66" s="23"/>
      <c r="V66" s="15"/>
      <c r="W66" s="15"/>
      <c r="X66" s="15"/>
    </row>
    <row r="67">
      <c r="A67" s="30" t="s">
        <v>64</v>
      </c>
      <c r="B67" s="33" t="s">
        <v>72</v>
      </c>
      <c r="C67" s="34">
        <v>7.3</v>
      </c>
      <c r="D67" s="34">
        <v>9.0</v>
      </c>
      <c r="E67" s="31">
        <v>0.0</v>
      </c>
      <c r="F67" s="9">
        <v>7.3</v>
      </c>
      <c r="G67" s="9">
        <v>7.3</v>
      </c>
      <c r="H67" s="8">
        <v>9.0</v>
      </c>
      <c r="I67" s="9">
        <v>14174.71</v>
      </c>
      <c r="J67" s="9">
        <v>0.0</v>
      </c>
      <c r="K67" s="10">
        <f t="shared" si="9"/>
        <v>0</v>
      </c>
      <c r="L67" s="10">
        <f t="shared" si="10"/>
        <v>-18.88888889</v>
      </c>
      <c r="M67" s="10">
        <f t="shared" si="11"/>
        <v>-18.88888889</v>
      </c>
      <c r="N67" s="10">
        <f t="shared" si="12"/>
        <v>-18.88888889</v>
      </c>
      <c r="O67" s="22"/>
      <c r="P67" s="22"/>
      <c r="R67" s="22"/>
      <c r="U67" s="23"/>
      <c r="V67" s="15"/>
      <c r="W67" s="15"/>
      <c r="X67" s="15"/>
    </row>
    <row r="68">
      <c r="A68" s="30" t="s">
        <v>64</v>
      </c>
      <c r="B68" s="33" t="s">
        <v>73</v>
      </c>
      <c r="C68" s="34">
        <v>7.2</v>
      </c>
      <c r="D68" s="34">
        <v>8.6</v>
      </c>
      <c r="E68" s="31">
        <v>0.0</v>
      </c>
      <c r="F68" s="9">
        <v>7.2</v>
      </c>
      <c r="G68" s="9">
        <v>7.2</v>
      </c>
      <c r="H68" s="8">
        <v>9.8</v>
      </c>
      <c r="I68" s="9">
        <v>14454.34</v>
      </c>
      <c r="J68" s="9">
        <v>0.0</v>
      </c>
      <c r="K68" s="10">
        <f t="shared" si="9"/>
        <v>0</v>
      </c>
      <c r="L68" s="10">
        <f t="shared" si="10"/>
        <v>-16.27906977</v>
      </c>
      <c r="M68" s="10">
        <f t="shared" si="11"/>
        <v>-16.27906977</v>
      </c>
      <c r="N68" s="10">
        <f t="shared" si="12"/>
        <v>-26.53061224</v>
      </c>
      <c r="O68" s="22"/>
      <c r="P68" s="22"/>
      <c r="R68" s="22"/>
      <c r="U68" s="23"/>
      <c r="V68" s="15"/>
      <c r="W68" s="15"/>
      <c r="X68" s="15"/>
    </row>
    <row r="69">
      <c r="A69" s="30" t="s">
        <v>64</v>
      </c>
      <c r="B69" s="33" t="s">
        <v>74</v>
      </c>
      <c r="C69" s="34">
        <v>7.4</v>
      </c>
      <c r="D69" s="34">
        <v>8.3</v>
      </c>
      <c r="E69" s="31">
        <v>0.0</v>
      </c>
      <c r="F69" s="9">
        <v>7.4</v>
      </c>
      <c r="G69" s="9">
        <v>7.4</v>
      </c>
      <c r="H69" s="8">
        <v>10.4</v>
      </c>
      <c r="I69" s="9">
        <v>14626.77</v>
      </c>
      <c r="J69" s="9">
        <v>0.0</v>
      </c>
      <c r="K69" s="10">
        <f t="shared" si="9"/>
        <v>0</v>
      </c>
      <c r="L69" s="10">
        <f t="shared" si="10"/>
        <v>-10.84337349</v>
      </c>
      <c r="M69" s="10">
        <f t="shared" si="11"/>
        <v>-10.84337349</v>
      </c>
      <c r="N69" s="10">
        <f t="shared" si="12"/>
        <v>-28.84615385</v>
      </c>
      <c r="U69" s="23"/>
      <c r="V69" s="15"/>
      <c r="W69" s="15"/>
      <c r="X69" s="15"/>
    </row>
    <row r="70">
      <c r="A70" s="30" t="s">
        <v>64</v>
      </c>
      <c r="B70" s="33" t="s">
        <v>75</v>
      </c>
      <c r="C70" s="34">
        <v>7.5</v>
      </c>
      <c r="D70" s="34">
        <v>7.7</v>
      </c>
      <c r="E70" s="31">
        <v>0.0</v>
      </c>
      <c r="F70" s="9">
        <v>7.5</v>
      </c>
      <c r="G70" s="9">
        <v>7.5</v>
      </c>
      <c r="H70" s="8">
        <v>7.7</v>
      </c>
      <c r="I70" s="9">
        <v>13955.07</v>
      </c>
      <c r="J70" s="9">
        <v>0.0</v>
      </c>
      <c r="K70" s="10">
        <f t="shared" si="9"/>
        <v>0</v>
      </c>
      <c r="L70" s="10">
        <f t="shared" si="10"/>
        <v>-2.597402597</v>
      </c>
      <c r="M70" s="10">
        <f t="shared" si="11"/>
        <v>-2.597402597</v>
      </c>
      <c r="N70" s="10">
        <f t="shared" si="12"/>
        <v>-2.597402597</v>
      </c>
    </row>
    <row r="71">
      <c r="A71" s="30" t="s">
        <v>64</v>
      </c>
      <c r="B71" s="33" t="s">
        <v>76</v>
      </c>
      <c r="C71" s="34">
        <v>8.5</v>
      </c>
      <c r="D71" s="34">
        <v>8.8</v>
      </c>
      <c r="E71" s="31">
        <v>0.0</v>
      </c>
      <c r="F71" s="9">
        <v>8.5</v>
      </c>
      <c r="G71" s="9">
        <v>8.5</v>
      </c>
      <c r="H71" s="8">
        <v>8.7</v>
      </c>
      <c r="I71" s="9">
        <v>14310.16</v>
      </c>
      <c r="J71" s="9">
        <v>0.0</v>
      </c>
      <c r="K71" s="10">
        <f t="shared" si="9"/>
        <v>0</v>
      </c>
      <c r="L71" s="10">
        <f t="shared" si="10"/>
        <v>-3.409090909</v>
      </c>
      <c r="M71" s="10">
        <f t="shared" si="11"/>
        <v>-3.409090909</v>
      </c>
      <c r="N71" s="10">
        <f t="shared" si="12"/>
        <v>-2.298850575</v>
      </c>
    </row>
    <row r="72">
      <c r="A72" s="30" t="s">
        <v>64</v>
      </c>
      <c r="B72" s="33" t="s">
        <v>77</v>
      </c>
      <c r="C72" s="34">
        <v>8.8</v>
      </c>
      <c r="D72" s="34">
        <v>10.1</v>
      </c>
      <c r="E72" s="31">
        <v>0.0</v>
      </c>
      <c r="F72" s="9">
        <v>8.8</v>
      </c>
      <c r="G72" s="9">
        <v>8.8</v>
      </c>
      <c r="H72" s="26">
        <v>10.0</v>
      </c>
      <c r="I72" s="9">
        <v>14687.24</v>
      </c>
      <c r="J72" s="9">
        <v>0.0</v>
      </c>
      <c r="K72" s="10">
        <f t="shared" si="9"/>
        <v>0</v>
      </c>
      <c r="L72" s="10">
        <f t="shared" si="10"/>
        <v>-12.87128713</v>
      </c>
      <c r="M72" s="10">
        <f t="shared" si="11"/>
        <v>-12.87128713</v>
      </c>
      <c r="N72" s="10">
        <f t="shared" si="12"/>
        <v>-12</v>
      </c>
    </row>
    <row r="73">
      <c r="A73" s="30" t="s">
        <v>64</v>
      </c>
      <c r="B73" s="33" t="s">
        <v>78</v>
      </c>
      <c r="C73" s="34">
        <v>8.5</v>
      </c>
      <c r="D73" s="34">
        <v>9.9</v>
      </c>
      <c r="E73" s="31">
        <v>0.0</v>
      </c>
      <c r="F73" s="9">
        <v>8.5</v>
      </c>
      <c r="G73" s="9">
        <v>8.56</v>
      </c>
      <c r="H73" s="26">
        <v>10.7</v>
      </c>
      <c r="I73" s="9">
        <v>13464.53</v>
      </c>
      <c r="J73" s="9">
        <v>0.05163977794943222</v>
      </c>
      <c r="K73" s="10">
        <f t="shared" si="9"/>
        <v>0</v>
      </c>
      <c r="L73" s="10">
        <f t="shared" si="10"/>
        <v>-14.14141414</v>
      </c>
      <c r="M73" s="10">
        <f t="shared" si="11"/>
        <v>-13.53535354</v>
      </c>
      <c r="N73" s="10">
        <f t="shared" si="12"/>
        <v>-20</v>
      </c>
    </row>
    <row r="74">
      <c r="A74" s="30" t="s">
        <v>64</v>
      </c>
      <c r="B74" s="33" t="s">
        <v>79</v>
      </c>
      <c r="C74" s="34">
        <v>7.9</v>
      </c>
      <c r="D74" s="34">
        <v>9.7</v>
      </c>
      <c r="E74" s="31">
        <v>0.0</v>
      </c>
      <c r="F74" s="9">
        <v>7.9</v>
      </c>
      <c r="G74" s="9">
        <v>7.9</v>
      </c>
      <c r="H74" s="26">
        <v>10.9</v>
      </c>
      <c r="I74" s="9">
        <v>13571.32</v>
      </c>
      <c r="J74" s="9">
        <v>0.0</v>
      </c>
      <c r="K74" s="10">
        <f t="shared" si="9"/>
        <v>0</v>
      </c>
      <c r="L74" s="10">
        <f t="shared" si="10"/>
        <v>-18.55670103</v>
      </c>
      <c r="M74" s="10">
        <f t="shared" si="11"/>
        <v>-18.55670103</v>
      </c>
      <c r="N74" s="10">
        <f t="shared" si="12"/>
        <v>-27.52293578</v>
      </c>
    </row>
    <row r="75">
      <c r="A75" s="30" t="s">
        <v>64</v>
      </c>
      <c r="B75" s="33" t="s">
        <v>80</v>
      </c>
      <c r="C75" s="34">
        <v>8.0</v>
      </c>
      <c r="D75" s="34">
        <v>8.2</v>
      </c>
      <c r="E75" s="31">
        <v>0.0</v>
      </c>
      <c r="F75" s="9">
        <v>8.0</v>
      </c>
      <c r="G75" s="9">
        <v>8.0</v>
      </c>
      <c r="H75" s="26">
        <v>8.0</v>
      </c>
      <c r="I75" s="9">
        <v>14468.97</v>
      </c>
      <c r="J75" s="9">
        <v>0.0</v>
      </c>
      <c r="K75" s="10">
        <f t="shared" si="9"/>
        <v>0</v>
      </c>
      <c r="L75" s="10">
        <f t="shared" si="10"/>
        <v>-2.43902439</v>
      </c>
      <c r="M75" s="10">
        <f t="shared" si="11"/>
        <v>-2.43902439</v>
      </c>
      <c r="N75" s="10">
        <f t="shared" si="12"/>
        <v>0</v>
      </c>
    </row>
    <row r="76">
      <c r="A76" s="30" t="s">
        <v>64</v>
      </c>
      <c r="B76" s="33" t="s">
        <v>81</v>
      </c>
      <c r="C76" s="34">
        <v>9.8</v>
      </c>
      <c r="D76" s="34">
        <v>10.1</v>
      </c>
      <c r="E76" s="31">
        <v>0.0</v>
      </c>
      <c r="F76" s="9">
        <v>9.8</v>
      </c>
      <c r="G76" s="9">
        <v>9.8</v>
      </c>
      <c r="H76" s="26">
        <v>10.5</v>
      </c>
      <c r="I76" s="9">
        <v>13449.48</v>
      </c>
      <c r="J76" s="9">
        <v>0.0</v>
      </c>
      <c r="K76" s="10">
        <f t="shared" si="9"/>
        <v>0</v>
      </c>
      <c r="L76" s="10">
        <f t="shared" si="10"/>
        <v>-2.97029703</v>
      </c>
      <c r="M76" s="10">
        <f t="shared" si="11"/>
        <v>-2.97029703</v>
      </c>
      <c r="N76" s="10">
        <f t="shared" si="12"/>
        <v>-6.666666667</v>
      </c>
    </row>
    <row r="77">
      <c r="A77" s="30" t="s">
        <v>64</v>
      </c>
      <c r="B77" s="33" t="s">
        <v>82</v>
      </c>
      <c r="C77" s="34">
        <v>10.5</v>
      </c>
      <c r="D77" s="34">
        <v>12.3</v>
      </c>
      <c r="E77" s="31">
        <v>0.0</v>
      </c>
      <c r="F77" s="9">
        <v>10.5</v>
      </c>
      <c r="G77" s="9">
        <v>10.5</v>
      </c>
      <c r="H77" s="26">
        <v>11.9</v>
      </c>
      <c r="I77" s="9">
        <v>13558.96</v>
      </c>
      <c r="J77" s="9">
        <v>0.0</v>
      </c>
      <c r="K77" s="10">
        <f t="shared" si="9"/>
        <v>0</v>
      </c>
      <c r="L77" s="10">
        <f t="shared" si="10"/>
        <v>-14.63414634</v>
      </c>
      <c r="M77" s="10">
        <f t="shared" si="11"/>
        <v>-14.63414634</v>
      </c>
      <c r="N77" s="10">
        <f t="shared" si="12"/>
        <v>-11.76470588</v>
      </c>
    </row>
    <row r="78">
      <c r="A78" s="30" t="s">
        <v>64</v>
      </c>
      <c r="B78" s="33" t="s">
        <v>83</v>
      </c>
      <c r="C78" s="34">
        <v>10.3</v>
      </c>
      <c r="D78" s="34">
        <v>11.3</v>
      </c>
      <c r="E78" s="31">
        <v>0.0</v>
      </c>
      <c r="F78" s="9">
        <v>10.4</v>
      </c>
      <c r="G78" s="9">
        <v>10.4</v>
      </c>
      <c r="H78" s="26">
        <v>12.5</v>
      </c>
      <c r="I78" s="9">
        <v>13767.71</v>
      </c>
      <c r="J78" s="9">
        <v>0.0</v>
      </c>
      <c r="K78" s="10">
        <f t="shared" si="9"/>
        <v>0.9708737864</v>
      </c>
      <c r="L78" s="10">
        <f t="shared" si="10"/>
        <v>-7.96460177</v>
      </c>
      <c r="M78" s="10">
        <f t="shared" si="11"/>
        <v>-7.96460177</v>
      </c>
      <c r="N78" s="10">
        <f t="shared" si="12"/>
        <v>-16.8</v>
      </c>
    </row>
    <row r="79">
      <c r="A79" s="30" t="s">
        <v>64</v>
      </c>
      <c r="B79" s="33" t="s">
        <v>84</v>
      </c>
      <c r="C79" s="34">
        <v>10.0</v>
      </c>
      <c r="D79" s="34">
        <v>11.7</v>
      </c>
      <c r="E79" s="31">
        <v>0.0</v>
      </c>
      <c r="F79" s="9">
        <v>10.0</v>
      </c>
      <c r="G79" s="9">
        <v>10.0</v>
      </c>
      <c r="H79" s="26">
        <v>12.2</v>
      </c>
      <c r="I79" s="9">
        <v>14201.39</v>
      </c>
      <c r="J79" s="9">
        <v>0.0</v>
      </c>
      <c r="K79" s="10">
        <f t="shared" si="9"/>
        <v>0</v>
      </c>
      <c r="L79" s="10">
        <f t="shared" si="10"/>
        <v>-14.52991453</v>
      </c>
      <c r="M79" s="10">
        <f t="shared" si="11"/>
        <v>-14.52991453</v>
      </c>
      <c r="N79" s="10">
        <f t="shared" si="12"/>
        <v>-18.03278689</v>
      </c>
    </row>
    <row r="80">
      <c r="A80" s="30" t="s">
        <v>64</v>
      </c>
      <c r="B80" s="35" t="s">
        <v>85</v>
      </c>
      <c r="C80" s="34">
        <v>7.8</v>
      </c>
      <c r="D80" s="34">
        <v>8.1</v>
      </c>
      <c r="E80" s="31">
        <v>0.0</v>
      </c>
      <c r="F80" s="9">
        <v>7.8</v>
      </c>
      <c r="G80" s="9">
        <v>7.8</v>
      </c>
      <c r="H80" s="26">
        <v>7.8</v>
      </c>
      <c r="I80" s="9">
        <v>13547.35</v>
      </c>
      <c r="J80" s="9">
        <v>0.0</v>
      </c>
      <c r="K80" s="10">
        <f t="shared" si="9"/>
        <v>0</v>
      </c>
      <c r="L80" s="10">
        <f t="shared" si="10"/>
        <v>-3.703703704</v>
      </c>
      <c r="M80" s="10">
        <f t="shared" si="11"/>
        <v>-3.703703704</v>
      </c>
      <c r="N80" s="10">
        <f t="shared" si="12"/>
        <v>0</v>
      </c>
    </row>
    <row r="81">
      <c r="A81" s="30" t="s">
        <v>64</v>
      </c>
      <c r="B81" s="35" t="s">
        <v>86</v>
      </c>
      <c r="C81" s="34">
        <v>11.1</v>
      </c>
      <c r="D81" s="34">
        <v>11.2</v>
      </c>
      <c r="E81" s="31">
        <v>0.0</v>
      </c>
      <c r="F81" s="9">
        <v>11.1</v>
      </c>
      <c r="G81" s="9">
        <v>11.1</v>
      </c>
      <c r="H81" s="26">
        <v>11.5</v>
      </c>
      <c r="I81" s="9">
        <v>13754.11</v>
      </c>
      <c r="J81" s="9">
        <v>0.0</v>
      </c>
      <c r="K81" s="10">
        <f t="shared" si="9"/>
        <v>0</v>
      </c>
      <c r="L81" s="10">
        <f t="shared" si="10"/>
        <v>-0.8928571429</v>
      </c>
      <c r="M81" s="10">
        <f t="shared" si="11"/>
        <v>-0.8928571429</v>
      </c>
      <c r="N81" s="10">
        <f t="shared" si="12"/>
        <v>-3.47826087</v>
      </c>
    </row>
    <row r="82">
      <c r="A82" s="30" t="s">
        <v>64</v>
      </c>
      <c r="B82" s="33" t="s">
        <v>87</v>
      </c>
      <c r="C82" s="34">
        <v>12.2</v>
      </c>
      <c r="D82" s="34">
        <v>13.2</v>
      </c>
      <c r="E82" s="31">
        <v>0.0</v>
      </c>
      <c r="F82" s="9">
        <v>12.2</v>
      </c>
      <c r="G82" s="9">
        <v>12.2</v>
      </c>
      <c r="H82" s="8">
        <v>13.3</v>
      </c>
      <c r="I82" s="9">
        <v>14061.56</v>
      </c>
      <c r="J82" s="9">
        <v>0.0</v>
      </c>
      <c r="K82" s="10">
        <f t="shared" si="9"/>
        <v>0</v>
      </c>
      <c r="L82" s="10">
        <f t="shared" si="10"/>
        <v>-7.575757576</v>
      </c>
      <c r="M82" s="10">
        <f t="shared" si="11"/>
        <v>-7.575757576</v>
      </c>
      <c r="N82" s="10">
        <f t="shared" si="12"/>
        <v>-8.270676692</v>
      </c>
    </row>
    <row r="83">
      <c r="A83" s="30" t="s">
        <v>64</v>
      </c>
      <c r="B83" s="33" t="s">
        <v>88</v>
      </c>
      <c r="C83" s="34">
        <v>12.1</v>
      </c>
      <c r="D83" s="34">
        <v>13.0</v>
      </c>
      <c r="E83" s="31">
        <v>0.0</v>
      </c>
      <c r="F83" s="9">
        <v>12.1</v>
      </c>
      <c r="G83" s="9">
        <v>12.1</v>
      </c>
      <c r="H83" s="8">
        <v>14.2</v>
      </c>
      <c r="I83" s="9">
        <v>14485.9</v>
      </c>
      <c r="J83" s="9">
        <v>0.0</v>
      </c>
      <c r="K83" s="10">
        <f t="shared" si="9"/>
        <v>0</v>
      </c>
      <c r="L83" s="10">
        <f t="shared" si="10"/>
        <v>-6.923076923</v>
      </c>
      <c r="M83" s="10">
        <f t="shared" si="11"/>
        <v>-6.923076923</v>
      </c>
      <c r="N83" s="10">
        <f t="shared" si="12"/>
        <v>-14.78873239</v>
      </c>
    </row>
    <row r="84">
      <c r="A84" s="30" t="s">
        <v>64</v>
      </c>
      <c r="B84" s="35" t="s">
        <v>89</v>
      </c>
      <c r="C84" s="34">
        <v>11.2</v>
      </c>
      <c r="D84" s="34">
        <v>12.8</v>
      </c>
      <c r="E84" s="31">
        <v>0.0</v>
      </c>
      <c r="F84" s="33">
        <v>11.2</v>
      </c>
      <c r="G84" s="35">
        <v>11.2</v>
      </c>
      <c r="H84" s="36">
        <v>13.9</v>
      </c>
      <c r="I84" s="35">
        <v>14976.57</v>
      </c>
      <c r="J84" s="35">
        <v>0.0</v>
      </c>
      <c r="K84" s="10">
        <f t="shared" si="9"/>
        <v>0</v>
      </c>
      <c r="L84" s="10">
        <f t="shared" si="10"/>
        <v>-12.5</v>
      </c>
      <c r="M84" s="10">
        <f t="shared" si="11"/>
        <v>-12.5</v>
      </c>
      <c r="N84" s="10">
        <f t="shared" si="12"/>
        <v>-19.42446043</v>
      </c>
    </row>
    <row r="85">
      <c r="A85" s="30" t="s">
        <v>64</v>
      </c>
      <c r="B85" s="35" t="s">
        <v>90</v>
      </c>
      <c r="C85" s="34">
        <v>8.4</v>
      </c>
      <c r="D85" s="34">
        <v>8.4</v>
      </c>
      <c r="E85" s="31">
        <v>0.0</v>
      </c>
      <c r="F85" s="33">
        <v>8.4</v>
      </c>
      <c r="G85" s="35">
        <v>8.4</v>
      </c>
      <c r="H85" s="36">
        <v>8.4</v>
      </c>
      <c r="I85" s="35">
        <v>14775.9</v>
      </c>
      <c r="J85" s="35">
        <v>0.0</v>
      </c>
      <c r="K85" s="10">
        <f t="shared" si="9"/>
        <v>0</v>
      </c>
      <c r="L85" s="10">
        <f t="shared" si="10"/>
        <v>0</v>
      </c>
      <c r="M85" s="10">
        <f t="shared" si="11"/>
        <v>0</v>
      </c>
      <c r="N85" s="10">
        <f t="shared" si="12"/>
        <v>0</v>
      </c>
    </row>
    <row r="86">
      <c r="A86" s="30" t="s">
        <v>64</v>
      </c>
      <c r="B86" s="35" t="s">
        <v>91</v>
      </c>
      <c r="C86" s="34">
        <v>13.0</v>
      </c>
      <c r="D86" s="34">
        <v>13.4</v>
      </c>
      <c r="E86" s="31">
        <v>0.0</v>
      </c>
      <c r="F86" s="33">
        <v>13.0</v>
      </c>
      <c r="G86" s="35">
        <v>13.0</v>
      </c>
      <c r="H86" s="36">
        <v>13.6</v>
      </c>
      <c r="I86" s="35">
        <v>15201.74</v>
      </c>
      <c r="J86" s="35">
        <v>0.0</v>
      </c>
      <c r="K86" s="10">
        <f t="shared" si="9"/>
        <v>0</v>
      </c>
      <c r="L86" s="10">
        <f t="shared" si="10"/>
        <v>-2.985074627</v>
      </c>
      <c r="M86" s="10">
        <f t="shared" si="11"/>
        <v>-2.985074627</v>
      </c>
      <c r="N86" s="10">
        <f t="shared" si="12"/>
        <v>-4.411764706</v>
      </c>
    </row>
    <row r="87">
      <c r="A87" s="30" t="s">
        <v>64</v>
      </c>
      <c r="B87" s="35" t="s">
        <v>92</v>
      </c>
      <c r="C87" s="34">
        <v>14.5</v>
      </c>
      <c r="D87" s="34">
        <v>15.6</v>
      </c>
      <c r="E87" s="31">
        <v>0.0</v>
      </c>
      <c r="F87" s="33">
        <v>14.5</v>
      </c>
      <c r="G87" s="35">
        <v>14.5</v>
      </c>
      <c r="H87" s="36">
        <v>15.3</v>
      </c>
      <c r="I87" s="35">
        <v>15528.76</v>
      </c>
      <c r="J87" s="35">
        <v>0.0</v>
      </c>
      <c r="K87" s="10">
        <f t="shared" si="9"/>
        <v>0</v>
      </c>
      <c r="L87" s="10">
        <f t="shared" si="10"/>
        <v>-7.051282051</v>
      </c>
      <c r="M87" s="10">
        <f t="shared" si="11"/>
        <v>-7.051282051</v>
      </c>
      <c r="N87" s="10">
        <f t="shared" si="12"/>
        <v>-5.22875817</v>
      </c>
    </row>
    <row r="88">
      <c r="A88" s="30" t="s">
        <v>64</v>
      </c>
      <c r="B88" s="35" t="s">
        <v>93</v>
      </c>
      <c r="C88" s="34">
        <v>14.9</v>
      </c>
      <c r="D88" s="34">
        <v>16.4</v>
      </c>
      <c r="E88" s="31">
        <v>0.0</v>
      </c>
      <c r="F88" s="33">
        <v>14.9</v>
      </c>
      <c r="G88" s="35">
        <v>14.9</v>
      </c>
      <c r="H88" s="36">
        <v>16.6</v>
      </c>
      <c r="I88" s="35">
        <v>15266.81</v>
      </c>
      <c r="J88" s="35">
        <v>0.0</v>
      </c>
      <c r="K88" s="10">
        <f t="shared" si="9"/>
        <v>0</v>
      </c>
      <c r="L88" s="10">
        <f t="shared" si="10"/>
        <v>-9.146341463</v>
      </c>
      <c r="M88" s="10">
        <f t="shared" si="11"/>
        <v>-9.146341463</v>
      </c>
      <c r="N88" s="10">
        <f t="shared" si="12"/>
        <v>-10.24096386</v>
      </c>
    </row>
    <row r="89">
      <c r="A89" s="30" t="s">
        <v>64</v>
      </c>
      <c r="B89" s="35" t="s">
        <v>94</v>
      </c>
      <c r="C89" s="34">
        <v>14.6</v>
      </c>
      <c r="D89" s="34">
        <v>16.4</v>
      </c>
      <c r="E89" s="31">
        <v>0.0</v>
      </c>
      <c r="F89" s="33">
        <v>14.7</v>
      </c>
      <c r="G89" s="35">
        <v>14.76</v>
      </c>
      <c r="H89" s="36">
        <v>16.8</v>
      </c>
      <c r="I89" s="35">
        <v>14081.11</v>
      </c>
      <c r="J89" s="37">
        <v>0.05163977794943222</v>
      </c>
      <c r="K89" s="10">
        <f t="shared" si="9"/>
        <v>0.6849315068</v>
      </c>
      <c r="L89" s="10">
        <f t="shared" si="10"/>
        <v>-10.36585366</v>
      </c>
      <c r="M89" s="10">
        <f t="shared" si="11"/>
        <v>-10</v>
      </c>
      <c r="N89" s="10">
        <f t="shared" si="12"/>
        <v>-12.14285714</v>
      </c>
    </row>
    <row r="90">
      <c r="A90" s="18" t="s">
        <v>38</v>
      </c>
      <c r="B90" s="19"/>
      <c r="C90" s="20"/>
      <c r="D90" s="20"/>
      <c r="E90" s="20"/>
      <c r="F90" s="21"/>
      <c r="G90" s="21"/>
      <c r="H90" s="20"/>
      <c r="I90" s="21"/>
      <c r="J90" s="20"/>
      <c r="K90" s="10">
        <f>IFERROR(__xludf.DUMMYFUNCTION("AVERAGE( FILTER( VALUE(K60:K89) , VALUE(K60:K89) &lt;&gt; 0 ) )"),0.825)</f>
        <v>0.825</v>
      </c>
      <c r="L90" s="10">
        <f>IFERROR(__xludf.DUMMYFUNCTION("AVERAGE( FILTER( VALUE(L60:L89) , VALUE(L60:L89) &lt;&gt; 0 ) )"),-8.961785714285714)</f>
        <v>-8.961785714</v>
      </c>
      <c r="M90" s="10">
        <f>IFERROR(__xludf.DUMMYFUNCTION("AVERAGE( FILTER( VALUE(M60:M89) , VALUE(M60:M89) &lt;&gt; 0 ) )"),-8.927142857142858)</f>
        <v>-8.927142857</v>
      </c>
      <c r="N90" s="10">
        <f>IFERROR(__xludf.DUMMYFUNCTION("AVERAGE( FILTER( VALUE(N60:N89) , VALUE(N60:N89) &lt;&gt; 0 ) )"),-13.93115384615385)</f>
        <v>-13.93115385</v>
      </c>
      <c r="O90" s="22"/>
      <c r="P90" s="22"/>
      <c r="R90" s="22"/>
      <c r="U90" s="23"/>
      <c r="V90" s="15"/>
      <c r="W90" s="15"/>
      <c r="X90" s="15"/>
    </row>
    <row r="91">
      <c r="F91" s="23"/>
      <c r="H91" s="15"/>
    </row>
    <row r="92">
      <c r="F92" s="23"/>
      <c r="H92" s="15"/>
    </row>
    <row r="93">
      <c r="A93" s="4"/>
      <c r="B93" s="5"/>
      <c r="C93" s="6" t="s">
        <v>0</v>
      </c>
      <c r="D93" s="6" t="s">
        <v>1</v>
      </c>
      <c r="F93" s="6" t="s">
        <v>2</v>
      </c>
      <c r="K93" s="5"/>
      <c r="L93" s="5"/>
      <c r="M93" s="5"/>
      <c r="N93" s="5"/>
    </row>
    <row r="94">
      <c r="A94" s="6" t="s">
        <v>3</v>
      </c>
      <c r="B94" s="6" t="s">
        <v>4</v>
      </c>
      <c r="C94" s="6" t="s">
        <v>5</v>
      </c>
      <c r="D94" s="6" t="s">
        <v>5</v>
      </c>
      <c r="E94" s="6" t="s">
        <v>6</v>
      </c>
      <c r="F94" s="6" t="s">
        <v>7</v>
      </c>
      <c r="G94" s="6" t="s">
        <v>8</v>
      </c>
      <c r="H94" s="6" t="s">
        <v>9</v>
      </c>
      <c r="I94" s="6" t="s">
        <v>6</v>
      </c>
      <c r="J94" s="6" t="s">
        <v>10</v>
      </c>
      <c r="K94" s="6" t="s">
        <v>11</v>
      </c>
      <c r="L94" s="6" t="s">
        <v>12</v>
      </c>
      <c r="M94" s="6" t="s">
        <v>13</v>
      </c>
      <c r="N94" s="6" t="s">
        <v>14</v>
      </c>
    </row>
    <row r="95">
      <c r="A95" s="30" t="s">
        <v>95</v>
      </c>
      <c r="B95" s="30" t="s">
        <v>96</v>
      </c>
      <c r="C95" s="31">
        <v>8.6</v>
      </c>
      <c r="D95" s="31">
        <v>9.0</v>
      </c>
      <c r="E95" s="31">
        <v>0.0</v>
      </c>
      <c r="F95" s="9">
        <v>8.6</v>
      </c>
      <c r="G95" s="9">
        <v>8.6</v>
      </c>
      <c r="H95" s="32">
        <v>10.8</v>
      </c>
      <c r="I95" s="9">
        <v>13849.66</v>
      </c>
      <c r="J95" s="37">
        <v>0.0</v>
      </c>
      <c r="K95" s="10">
        <f t="shared" ref="K95:K134" si="13">(F95 - C95) / C95 * 100</f>
        <v>0</v>
      </c>
      <c r="L95" s="10">
        <f t="shared" ref="L95:L134" si="14">(F95 - D95) / D95 * 100</f>
        <v>-4.444444444</v>
      </c>
      <c r="M95" s="10">
        <f t="shared" ref="M95:M134" si="15">(G95 - D95) / D95 * 100</f>
        <v>-4.444444444</v>
      </c>
      <c r="N95" s="10">
        <f t="shared" ref="N95:N134" si="16">(G95 - H95) / H95 * 100</f>
        <v>-20.37037037</v>
      </c>
    </row>
    <row r="96">
      <c r="A96" s="30" t="s">
        <v>95</v>
      </c>
      <c r="B96" s="30" t="s">
        <v>97</v>
      </c>
      <c r="C96" s="31">
        <v>16.0</v>
      </c>
      <c r="D96" s="31">
        <v>17.0</v>
      </c>
      <c r="E96" s="31">
        <v>0.0</v>
      </c>
      <c r="F96" s="9">
        <v>16.0</v>
      </c>
      <c r="G96" s="9">
        <v>16.0</v>
      </c>
      <c r="H96" s="8">
        <v>17.4</v>
      </c>
      <c r="I96" s="9">
        <v>14476.82</v>
      </c>
      <c r="J96" s="37">
        <v>0.0</v>
      </c>
      <c r="K96" s="10">
        <f t="shared" si="13"/>
        <v>0</v>
      </c>
      <c r="L96" s="10">
        <f t="shared" si="14"/>
        <v>-5.882352941</v>
      </c>
      <c r="M96" s="10">
        <f t="shared" si="15"/>
        <v>-5.882352941</v>
      </c>
      <c r="N96" s="10">
        <f t="shared" si="16"/>
        <v>-8.045977011</v>
      </c>
    </row>
    <row r="97">
      <c r="A97" s="30" t="s">
        <v>95</v>
      </c>
      <c r="B97" s="30" t="s">
        <v>98</v>
      </c>
      <c r="C97" s="31">
        <v>21.2</v>
      </c>
      <c r="D97" s="31">
        <v>22.2</v>
      </c>
      <c r="E97" s="31">
        <v>0.0</v>
      </c>
      <c r="F97" s="9">
        <v>21.2</v>
      </c>
      <c r="G97" s="9">
        <v>21.2</v>
      </c>
      <c r="H97" s="8">
        <v>21.8</v>
      </c>
      <c r="I97" s="9">
        <v>15392.140000000001</v>
      </c>
      <c r="J97" s="37">
        <v>0.0</v>
      </c>
      <c r="K97" s="10">
        <f t="shared" si="13"/>
        <v>0</v>
      </c>
      <c r="L97" s="10">
        <f t="shared" si="14"/>
        <v>-4.504504505</v>
      </c>
      <c r="M97" s="10">
        <f t="shared" si="15"/>
        <v>-4.504504505</v>
      </c>
      <c r="N97" s="10">
        <f t="shared" si="16"/>
        <v>-2.752293578</v>
      </c>
    </row>
    <row r="98">
      <c r="A98" s="30" t="s">
        <v>95</v>
      </c>
      <c r="B98" s="30" t="s">
        <v>99</v>
      </c>
      <c r="C98" s="31">
        <v>25.2</v>
      </c>
      <c r="D98" s="31">
        <v>25.4</v>
      </c>
      <c r="E98" s="31">
        <v>0.0</v>
      </c>
      <c r="F98" s="9">
        <v>25.2</v>
      </c>
      <c r="G98" s="9">
        <v>25.2</v>
      </c>
      <c r="H98" s="8">
        <v>25.4</v>
      </c>
      <c r="I98" s="9">
        <v>16089.1</v>
      </c>
      <c r="J98" s="37">
        <v>0.0</v>
      </c>
      <c r="K98" s="10">
        <f t="shared" si="13"/>
        <v>0</v>
      </c>
      <c r="L98" s="10">
        <f t="shared" si="14"/>
        <v>-0.7874015748</v>
      </c>
      <c r="M98" s="10">
        <f t="shared" si="15"/>
        <v>-0.7874015748</v>
      </c>
      <c r="N98" s="10">
        <f t="shared" si="16"/>
        <v>-0.7874015748</v>
      </c>
    </row>
    <row r="99">
      <c r="A99" s="30" t="s">
        <v>95</v>
      </c>
      <c r="B99" s="36" t="s">
        <v>100</v>
      </c>
      <c r="C99" s="31">
        <v>27.0</v>
      </c>
      <c r="D99" s="31">
        <v>27.0</v>
      </c>
      <c r="E99" s="31">
        <v>0.0</v>
      </c>
      <c r="F99" s="9">
        <v>27.0</v>
      </c>
      <c r="G99" s="9">
        <v>27.0</v>
      </c>
      <c r="H99" s="8">
        <v>27.0</v>
      </c>
      <c r="I99" s="9">
        <v>15430.52</v>
      </c>
      <c r="J99" s="37">
        <v>0.0</v>
      </c>
      <c r="K99" s="10">
        <f t="shared" si="13"/>
        <v>0</v>
      </c>
      <c r="L99" s="10">
        <f t="shared" si="14"/>
        <v>0</v>
      </c>
      <c r="M99" s="10">
        <f t="shared" si="15"/>
        <v>0</v>
      </c>
      <c r="N99" s="10">
        <f t="shared" si="16"/>
        <v>0</v>
      </c>
    </row>
    <row r="100">
      <c r="A100" s="30" t="s">
        <v>95</v>
      </c>
      <c r="B100" s="36" t="s">
        <v>101</v>
      </c>
      <c r="C100" s="31">
        <v>11.0</v>
      </c>
      <c r="D100" s="31">
        <v>13.0</v>
      </c>
      <c r="E100" s="31">
        <v>0.0</v>
      </c>
      <c r="F100" s="9">
        <v>11.0</v>
      </c>
      <c r="G100" s="9">
        <v>11.0</v>
      </c>
      <c r="H100" s="8">
        <v>15.0</v>
      </c>
      <c r="I100" s="9">
        <v>14648.66</v>
      </c>
      <c r="J100" s="37">
        <v>0.0</v>
      </c>
      <c r="K100" s="10">
        <f t="shared" si="13"/>
        <v>0</v>
      </c>
      <c r="L100" s="10">
        <f t="shared" si="14"/>
        <v>-15.38461538</v>
      </c>
      <c r="M100" s="10">
        <f t="shared" si="15"/>
        <v>-15.38461538</v>
      </c>
      <c r="N100" s="10">
        <f t="shared" si="16"/>
        <v>-26.66666667</v>
      </c>
    </row>
    <row r="101">
      <c r="A101" s="30" t="s">
        <v>95</v>
      </c>
      <c r="B101" s="36" t="s">
        <v>102</v>
      </c>
      <c r="C101" s="31">
        <v>20.2</v>
      </c>
      <c r="D101" s="31">
        <v>21.4</v>
      </c>
      <c r="E101" s="31">
        <v>0.0</v>
      </c>
      <c r="F101" s="9">
        <v>20.2</v>
      </c>
      <c r="G101" s="9">
        <v>20.2</v>
      </c>
      <c r="H101" s="8">
        <v>21.2</v>
      </c>
      <c r="I101" s="9">
        <v>14302.72</v>
      </c>
      <c r="J101" s="37">
        <v>0.0</v>
      </c>
      <c r="K101" s="10">
        <f t="shared" si="13"/>
        <v>0</v>
      </c>
      <c r="L101" s="10">
        <f t="shared" si="14"/>
        <v>-5.607476636</v>
      </c>
      <c r="M101" s="10">
        <f t="shared" si="15"/>
        <v>-5.607476636</v>
      </c>
      <c r="N101" s="10">
        <f t="shared" si="16"/>
        <v>-4.716981132</v>
      </c>
    </row>
    <row r="102">
      <c r="A102" s="30" t="s">
        <v>95</v>
      </c>
      <c r="B102" s="36" t="s">
        <v>103</v>
      </c>
      <c r="C102" s="34">
        <v>28.2</v>
      </c>
      <c r="D102" s="34">
        <v>29.0</v>
      </c>
      <c r="E102" s="31">
        <v>0.0</v>
      </c>
      <c r="F102" s="9">
        <v>28.2</v>
      </c>
      <c r="G102" s="9">
        <v>28.22</v>
      </c>
      <c r="H102" s="8">
        <v>28.8</v>
      </c>
      <c r="I102" s="9">
        <v>15807.640000000001</v>
      </c>
      <c r="J102" s="37">
        <v>0.06324555320336758</v>
      </c>
      <c r="K102" s="10">
        <f t="shared" si="13"/>
        <v>0</v>
      </c>
      <c r="L102" s="10">
        <f t="shared" si="14"/>
        <v>-2.75862069</v>
      </c>
      <c r="M102" s="10">
        <f t="shared" si="15"/>
        <v>-2.689655172</v>
      </c>
      <c r="N102" s="10">
        <f t="shared" si="16"/>
        <v>-2.013888889</v>
      </c>
    </row>
    <row r="103">
      <c r="A103" s="30" t="s">
        <v>95</v>
      </c>
      <c r="B103" s="36" t="s">
        <v>104</v>
      </c>
      <c r="C103" s="34">
        <v>32.6</v>
      </c>
      <c r="D103" s="34">
        <v>33.6</v>
      </c>
      <c r="E103" s="31">
        <v>0.0</v>
      </c>
      <c r="F103" s="9">
        <v>32.6</v>
      </c>
      <c r="G103" s="9">
        <v>32.6</v>
      </c>
      <c r="H103" s="8">
        <v>33.4</v>
      </c>
      <c r="I103" s="9">
        <v>17412.899999999998</v>
      </c>
      <c r="J103" s="37">
        <v>0.0</v>
      </c>
      <c r="K103" s="10">
        <f t="shared" si="13"/>
        <v>0</v>
      </c>
      <c r="L103" s="10">
        <f t="shared" si="14"/>
        <v>-2.976190476</v>
      </c>
      <c r="M103" s="10">
        <f t="shared" si="15"/>
        <v>-2.976190476</v>
      </c>
      <c r="N103" s="10">
        <f t="shared" si="16"/>
        <v>-2.395209581</v>
      </c>
    </row>
    <row r="104">
      <c r="A104" s="30" t="s">
        <v>95</v>
      </c>
      <c r="B104" s="36" t="s">
        <v>105</v>
      </c>
      <c r="C104" s="34">
        <v>35.4</v>
      </c>
      <c r="D104" s="34">
        <v>35.8</v>
      </c>
      <c r="E104" s="31">
        <v>0.0</v>
      </c>
      <c r="F104" s="9">
        <v>35.4</v>
      </c>
      <c r="G104" s="9">
        <v>35.4</v>
      </c>
      <c r="H104" s="8">
        <v>35.6</v>
      </c>
      <c r="I104" s="9">
        <v>17206.100000000002</v>
      </c>
      <c r="J104" s="37">
        <v>0.0</v>
      </c>
      <c r="K104" s="10">
        <f t="shared" si="13"/>
        <v>0</v>
      </c>
      <c r="L104" s="10">
        <f t="shared" si="14"/>
        <v>-1.117318436</v>
      </c>
      <c r="M104" s="10">
        <f t="shared" si="15"/>
        <v>-1.117318436</v>
      </c>
      <c r="N104" s="10">
        <f t="shared" si="16"/>
        <v>-0.5617977528</v>
      </c>
    </row>
    <row r="105">
      <c r="A105" s="30" t="s">
        <v>95</v>
      </c>
      <c r="B105" s="36" t="s">
        <v>106</v>
      </c>
      <c r="C105" s="34">
        <v>13.2</v>
      </c>
      <c r="D105" s="34">
        <v>15.2</v>
      </c>
      <c r="E105" s="31">
        <v>0.0</v>
      </c>
      <c r="F105" s="9">
        <v>13.2</v>
      </c>
      <c r="G105" s="9">
        <v>13.3</v>
      </c>
      <c r="H105" s="8">
        <v>15.2</v>
      </c>
      <c r="I105" s="9">
        <v>15315.84</v>
      </c>
      <c r="J105" s="37">
        <v>0.10540925533894599</v>
      </c>
      <c r="K105" s="10">
        <f t="shared" si="13"/>
        <v>0</v>
      </c>
      <c r="L105" s="10">
        <f t="shared" si="14"/>
        <v>-13.15789474</v>
      </c>
      <c r="M105" s="10">
        <f t="shared" si="15"/>
        <v>-12.5</v>
      </c>
      <c r="N105" s="10">
        <f t="shared" si="16"/>
        <v>-12.5</v>
      </c>
    </row>
    <row r="106">
      <c r="A106" s="30" t="s">
        <v>95</v>
      </c>
      <c r="B106" s="36" t="s">
        <v>107</v>
      </c>
      <c r="C106" s="34">
        <v>23.8</v>
      </c>
      <c r="D106" s="34">
        <v>26.0</v>
      </c>
      <c r="E106" s="31">
        <v>0.0</v>
      </c>
      <c r="F106" s="9">
        <v>23.8</v>
      </c>
      <c r="G106" s="9">
        <v>23.94</v>
      </c>
      <c r="H106" s="8">
        <v>26.0</v>
      </c>
      <c r="I106" s="9">
        <v>16714.52</v>
      </c>
      <c r="J106" s="37">
        <v>0.09660917830792959</v>
      </c>
      <c r="K106" s="10">
        <f t="shared" si="13"/>
        <v>0</v>
      </c>
      <c r="L106" s="10">
        <f t="shared" si="14"/>
        <v>-8.461538462</v>
      </c>
      <c r="M106" s="10">
        <f t="shared" si="15"/>
        <v>-7.923076923</v>
      </c>
      <c r="N106" s="10">
        <f t="shared" si="16"/>
        <v>-7.923076923</v>
      </c>
    </row>
    <row r="107">
      <c r="A107" s="30" t="s">
        <v>95</v>
      </c>
      <c r="B107" s="36" t="s">
        <v>108</v>
      </c>
      <c r="C107" s="34">
        <v>35.2</v>
      </c>
      <c r="D107" s="34">
        <v>35.8</v>
      </c>
      <c r="E107" s="31">
        <v>0.0</v>
      </c>
      <c r="F107" s="9">
        <v>35.2</v>
      </c>
      <c r="G107" s="9">
        <v>35.2</v>
      </c>
      <c r="H107" s="26">
        <v>36.2</v>
      </c>
      <c r="I107" s="9">
        <v>16393.08</v>
      </c>
      <c r="J107" s="37">
        <v>0.0</v>
      </c>
      <c r="K107" s="10">
        <f t="shared" si="13"/>
        <v>0</v>
      </c>
      <c r="L107" s="10">
        <f t="shared" si="14"/>
        <v>-1.675977654</v>
      </c>
      <c r="M107" s="10">
        <f t="shared" si="15"/>
        <v>-1.675977654</v>
      </c>
      <c r="N107" s="10">
        <f t="shared" si="16"/>
        <v>-2.762430939</v>
      </c>
    </row>
    <row r="108">
      <c r="A108" s="30" t="s">
        <v>95</v>
      </c>
      <c r="B108" s="36" t="s">
        <v>109</v>
      </c>
      <c r="C108" s="34">
        <v>40.4</v>
      </c>
      <c r="D108" s="34">
        <v>41.8</v>
      </c>
      <c r="E108" s="31">
        <v>0.0</v>
      </c>
      <c r="F108" s="9">
        <v>40.4</v>
      </c>
      <c r="G108" s="9">
        <v>40.4</v>
      </c>
      <c r="H108" s="26">
        <v>41.6</v>
      </c>
      <c r="I108" s="9">
        <v>18734.94</v>
      </c>
      <c r="J108" s="37">
        <v>0.0</v>
      </c>
      <c r="K108" s="10">
        <f t="shared" si="13"/>
        <v>0</v>
      </c>
      <c r="L108" s="10">
        <f t="shared" si="14"/>
        <v>-3.349282297</v>
      </c>
      <c r="M108" s="10">
        <f t="shared" si="15"/>
        <v>-3.349282297</v>
      </c>
      <c r="N108" s="10">
        <f t="shared" si="16"/>
        <v>-2.884615385</v>
      </c>
    </row>
    <row r="109">
      <c r="A109" s="30" t="s">
        <v>95</v>
      </c>
      <c r="B109" s="36" t="s">
        <v>110</v>
      </c>
      <c r="C109" s="34">
        <v>44.4</v>
      </c>
      <c r="D109" s="34">
        <v>44.8</v>
      </c>
      <c r="E109" s="31">
        <v>0.0</v>
      </c>
      <c r="F109" s="9">
        <v>44.4</v>
      </c>
      <c r="G109" s="9">
        <v>44.4</v>
      </c>
      <c r="H109" s="26">
        <v>45.0</v>
      </c>
      <c r="I109" s="9">
        <v>20008.42</v>
      </c>
      <c r="J109" s="37">
        <v>0.0</v>
      </c>
      <c r="K109" s="10">
        <f t="shared" si="13"/>
        <v>0</v>
      </c>
      <c r="L109" s="10">
        <f t="shared" si="14"/>
        <v>-0.8928571429</v>
      </c>
      <c r="M109" s="10">
        <f t="shared" si="15"/>
        <v>-0.8928571429</v>
      </c>
      <c r="N109" s="10">
        <f t="shared" si="16"/>
        <v>-1.333333333</v>
      </c>
    </row>
    <row r="110">
      <c r="A110" s="30" t="s">
        <v>95</v>
      </c>
      <c r="B110" s="36" t="s">
        <v>111</v>
      </c>
      <c r="C110" s="34">
        <v>21.2</v>
      </c>
      <c r="D110" s="34">
        <v>22.6</v>
      </c>
      <c r="E110" s="31">
        <v>0.0</v>
      </c>
      <c r="F110" s="9">
        <v>21.2</v>
      </c>
      <c r="G110" s="9">
        <v>21.2</v>
      </c>
      <c r="H110" s="26">
        <v>23.0</v>
      </c>
      <c r="I110" s="9">
        <v>16429.58</v>
      </c>
      <c r="J110" s="37">
        <v>0.0</v>
      </c>
      <c r="K110" s="10">
        <f t="shared" si="13"/>
        <v>0</v>
      </c>
      <c r="L110" s="10">
        <f t="shared" si="14"/>
        <v>-6.194690265</v>
      </c>
      <c r="M110" s="10">
        <f t="shared" si="15"/>
        <v>-6.194690265</v>
      </c>
      <c r="N110" s="10">
        <f t="shared" si="16"/>
        <v>-7.826086957</v>
      </c>
    </row>
    <row r="111">
      <c r="A111" s="30" t="s">
        <v>95</v>
      </c>
      <c r="B111" s="36" t="s">
        <v>112</v>
      </c>
      <c r="C111" s="34">
        <v>34.6</v>
      </c>
      <c r="D111" s="34">
        <v>36.2</v>
      </c>
      <c r="E111" s="31">
        <v>0.0</v>
      </c>
      <c r="F111" s="9">
        <v>34.6</v>
      </c>
      <c r="G111" s="9">
        <v>34.6</v>
      </c>
      <c r="H111" s="26">
        <v>36.6</v>
      </c>
      <c r="I111" s="9">
        <v>20141.38</v>
      </c>
      <c r="J111" s="37">
        <v>0.0</v>
      </c>
      <c r="K111" s="10">
        <f t="shared" si="13"/>
        <v>0</v>
      </c>
      <c r="L111" s="10">
        <f t="shared" si="14"/>
        <v>-4.419889503</v>
      </c>
      <c r="M111" s="10">
        <f t="shared" si="15"/>
        <v>-4.419889503</v>
      </c>
      <c r="N111" s="10">
        <f t="shared" si="16"/>
        <v>-5.464480874</v>
      </c>
    </row>
    <row r="112">
      <c r="A112" s="30" t="s">
        <v>95</v>
      </c>
      <c r="B112" s="36" t="s">
        <v>113</v>
      </c>
      <c r="C112" s="34">
        <v>42.4</v>
      </c>
      <c r="D112" s="34">
        <v>43.4</v>
      </c>
      <c r="E112" s="31">
        <v>0.0</v>
      </c>
      <c r="F112" s="9">
        <v>42.4</v>
      </c>
      <c r="G112" s="9">
        <v>42.4</v>
      </c>
      <c r="H112" s="26">
        <v>43.2</v>
      </c>
      <c r="I112" s="9">
        <v>22657.5</v>
      </c>
      <c r="J112" s="37">
        <v>0.0</v>
      </c>
      <c r="K112" s="10">
        <f t="shared" si="13"/>
        <v>0</v>
      </c>
      <c r="L112" s="10">
        <f t="shared" si="14"/>
        <v>-2.304147465</v>
      </c>
      <c r="M112" s="10">
        <f t="shared" si="15"/>
        <v>-2.304147465</v>
      </c>
      <c r="N112" s="10">
        <f t="shared" si="16"/>
        <v>-1.851851852</v>
      </c>
    </row>
    <row r="113">
      <c r="A113" s="30" t="s">
        <v>95</v>
      </c>
      <c r="B113" s="36" t="s">
        <v>114</v>
      </c>
      <c r="C113" s="34">
        <v>46.2</v>
      </c>
      <c r="D113" s="34">
        <v>46.4</v>
      </c>
      <c r="E113" s="31">
        <v>0.0</v>
      </c>
      <c r="F113" s="9">
        <v>46.2</v>
      </c>
      <c r="G113" s="9">
        <v>46.2</v>
      </c>
      <c r="H113" s="26">
        <v>46.4</v>
      </c>
      <c r="I113" s="9">
        <v>25518.22</v>
      </c>
      <c r="J113" s="37">
        <v>0.0</v>
      </c>
      <c r="K113" s="10">
        <f t="shared" si="13"/>
        <v>0</v>
      </c>
      <c r="L113" s="10">
        <f t="shared" si="14"/>
        <v>-0.4310344828</v>
      </c>
      <c r="M113" s="10">
        <f t="shared" si="15"/>
        <v>-0.4310344828</v>
      </c>
      <c r="N113" s="10">
        <f t="shared" si="16"/>
        <v>-0.4310344828</v>
      </c>
    </row>
    <row r="114">
      <c r="A114" s="30" t="s">
        <v>95</v>
      </c>
      <c r="B114" s="36" t="s">
        <v>115</v>
      </c>
      <c r="C114" s="34">
        <v>47.8</v>
      </c>
      <c r="D114" s="34">
        <v>47.8</v>
      </c>
      <c r="E114" s="31">
        <v>0.0</v>
      </c>
      <c r="F114" s="9">
        <v>47.8</v>
      </c>
      <c r="G114" s="9">
        <v>47.8</v>
      </c>
      <c r="H114" s="26">
        <v>47.8</v>
      </c>
      <c r="I114" s="9">
        <v>29176.239999999998</v>
      </c>
      <c r="J114" s="37">
        <v>0.0</v>
      </c>
      <c r="K114" s="10">
        <f t="shared" si="13"/>
        <v>0</v>
      </c>
      <c r="L114" s="10">
        <f t="shared" si="14"/>
        <v>0</v>
      </c>
      <c r="M114" s="10">
        <f t="shared" si="15"/>
        <v>0</v>
      </c>
      <c r="N114" s="10">
        <f t="shared" si="16"/>
        <v>0</v>
      </c>
    </row>
    <row r="115">
      <c r="A115" s="30" t="s">
        <v>95</v>
      </c>
      <c r="B115" s="36" t="s">
        <v>116</v>
      </c>
      <c r="C115" s="34">
        <v>15.8</v>
      </c>
      <c r="D115" s="34">
        <v>19.2</v>
      </c>
      <c r="E115" s="31">
        <v>0.0</v>
      </c>
      <c r="F115" s="9">
        <v>16.0</v>
      </c>
      <c r="G115" s="9">
        <v>16.0</v>
      </c>
      <c r="H115" s="26">
        <v>22.0</v>
      </c>
      <c r="I115" s="9">
        <v>16368.140000000001</v>
      </c>
      <c r="J115" s="37">
        <v>0.0</v>
      </c>
      <c r="K115" s="10">
        <f t="shared" si="13"/>
        <v>1.265822785</v>
      </c>
      <c r="L115" s="10">
        <f t="shared" si="14"/>
        <v>-16.66666667</v>
      </c>
      <c r="M115" s="10">
        <f t="shared" si="15"/>
        <v>-16.66666667</v>
      </c>
      <c r="N115" s="10">
        <f t="shared" si="16"/>
        <v>-27.27272727</v>
      </c>
    </row>
    <row r="116">
      <c r="A116" s="30" t="s">
        <v>95</v>
      </c>
      <c r="B116" s="36" t="s">
        <v>117</v>
      </c>
      <c r="C116" s="34">
        <v>34.2</v>
      </c>
      <c r="D116" s="34">
        <v>37.6</v>
      </c>
      <c r="E116" s="31">
        <v>0.0</v>
      </c>
      <c r="F116" s="9">
        <v>34.2</v>
      </c>
      <c r="G116" s="9">
        <v>34.44</v>
      </c>
      <c r="H116" s="26">
        <v>37.4</v>
      </c>
      <c r="I116" s="9">
        <v>18506.24</v>
      </c>
      <c r="J116" s="37">
        <v>0.21081851067789195</v>
      </c>
      <c r="K116" s="10">
        <f t="shared" si="13"/>
        <v>0</v>
      </c>
      <c r="L116" s="10">
        <f t="shared" si="14"/>
        <v>-9.042553191</v>
      </c>
      <c r="M116" s="10">
        <f t="shared" si="15"/>
        <v>-8.404255319</v>
      </c>
      <c r="N116" s="10">
        <f t="shared" si="16"/>
        <v>-7.914438503</v>
      </c>
    </row>
    <row r="117">
      <c r="A117" s="30" t="s">
        <v>95</v>
      </c>
      <c r="B117" s="36" t="s">
        <v>118</v>
      </c>
      <c r="C117" s="34">
        <v>50.0</v>
      </c>
      <c r="D117" s="34">
        <v>52.4</v>
      </c>
      <c r="E117" s="31">
        <v>0.0</v>
      </c>
      <c r="F117" s="9">
        <v>50.0</v>
      </c>
      <c r="G117" s="9">
        <v>50.0</v>
      </c>
      <c r="H117" s="8">
        <v>53.0</v>
      </c>
      <c r="I117" s="9">
        <v>21163.06</v>
      </c>
      <c r="J117" s="37">
        <v>0.0</v>
      </c>
      <c r="K117" s="10">
        <f t="shared" si="13"/>
        <v>0</v>
      </c>
      <c r="L117" s="10">
        <f t="shared" si="14"/>
        <v>-4.580152672</v>
      </c>
      <c r="M117" s="10">
        <f t="shared" si="15"/>
        <v>-4.580152672</v>
      </c>
      <c r="N117" s="10">
        <f t="shared" si="16"/>
        <v>-5.660377358</v>
      </c>
    </row>
    <row r="118">
      <c r="A118" s="30" t="s">
        <v>95</v>
      </c>
      <c r="B118" s="36" t="s">
        <v>119</v>
      </c>
      <c r="C118" s="34">
        <v>59.4</v>
      </c>
      <c r="D118" s="34">
        <v>60.4</v>
      </c>
      <c r="E118" s="31">
        <v>0.0</v>
      </c>
      <c r="F118" s="9">
        <v>59.4</v>
      </c>
      <c r="G118" s="9">
        <v>59.4</v>
      </c>
      <c r="H118" s="8">
        <v>60.2</v>
      </c>
      <c r="I118" s="9">
        <v>23720.86</v>
      </c>
      <c r="J118" s="37">
        <v>0.0</v>
      </c>
      <c r="K118" s="10">
        <f t="shared" si="13"/>
        <v>0</v>
      </c>
      <c r="L118" s="10">
        <f t="shared" si="14"/>
        <v>-1.655629139</v>
      </c>
      <c r="M118" s="10">
        <f t="shared" si="15"/>
        <v>-1.655629139</v>
      </c>
      <c r="N118" s="10">
        <f t="shared" si="16"/>
        <v>-1.328903654</v>
      </c>
    </row>
    <row r="119">
      <c r="A119" s="30" t="s">
        <v>95</v>
      </c>
      <c r="B119" s="36" t="s">
        <v>120</v>
      </c>
      <c r="C119" s="34">
        <v>64.8</v>
      </c>
      <c r="D119" s="34">
        <v>65.8</v>
      </c>
      <c r="E119" s="31">
        <v>0.0</v>
      </c>
      <c r="F119" s="33">
        <v>64.8</v>
      </c>
      <c r="G119" s="35">
        <v>64.8</v>
      </c>
      <c r="H119" s="36">
        <v>66.0</v>
      </c>
      <c r="I119" s="35">
        <v>25041.38</v>
      </c>
      <c r="J119" s="37">
        <v>0.0</v>
      </c>
      <c r="K119" s="10">
        <f t="shared" si="13"/>
        <v>0</v>
      </c>
      <c r="L119" s="10">
        <f t="shared" si="14"/>
        <v>-1.519756839</v>
      </c>
      <c r="M119" s="10">
        <f t="shared" si="15"/>
        <v>-1.519756839</v>
      </c>
      <c r="N119" s="10">
        <f t="shared" si="16"/>
        <v>-1.818181818</v>
      </c>
    </row>
    <row r="120">
      <c r="A120" s="30" t="s">
        <v>95</v>
      </c>
      <c r="B120" s="36" t="s">
        <v>121</v>
      </c>
      <c r="C120" s="34">
        <v>11.6</v>
      </c>
      <c r="D120" s="34">
        <v>15.4</v>
      </c>
      <c r="E120" s="31">
        <v>0.0</v>
      </c>
      <c r="F120" s="33">
        <v>11.6</v>
      </c>
      <c r="G120" s="35">
        <v>11.6</v>
      </c>
      <c r="H120" s="36">
        <v>20.6</v>
      </c>
      <c r="I120" s="35">
        <v>15404.8</v>
      </c>
      <c r="J120" s="37">
        <v>0.0</v>
      </c>
      <c r="K120" s="10">
        <f t="shared" si="13"/>
        <v>0</v>
      </c>
      <c r="L120" s="10">
        <f t="shared" si="14"/>
        <v>-24.67532468</v>
      </c>
      <c r="M120" s="10">
        <f t="shared" si="15"/>
        <v>-24.67532468</v>
      </c>
      <c r="N120" s="10">
        <f t="shared" si="16"/>
        <v>-43.68932039</v>
      </c>
    </row>
    <row r="121">
      <c r="A121" s="30" t="s">
        <v>95</v>
      </c>
      <c r="B121" s="36" t="s">
        <v>122</v>
      </c>
      <c r="C121" s="34">
        <v>26.4</v>
      </c>
      <c r="D121" s="34">
        <v>32.2</v>
      </c>
      <c r="E121" s="31">
        <v>0.0</v>
      </c>
      <c r="F121" s="33">
        <v>26.4</v>
      </c>
      <c r="G121" s="35">
        <v>26.4</v>
      </c>
      <c r="H121" s="36">
        <v>35.2</v>
      </c>
      <c r="I121" s="35">
        <v>16711.84</v>
      </c>
      <c r="J121" s="37">
        <v>0.0</v>
      </c>
      <c r="K121" s="10">
        <f t="shared" si="13"/>
        <v>0</v>
      </c>
      <c r="L121" s="10">
        <f t="shared" si="14"/>
        <v>-18.01242236</v>
      </c>
      <c r="M121" s="10">
        <f t="shared" si="15"/>
        <v>-18.01242236</v>
      </c>
      <c r="N121" s="10">
        <f t="shared" si="16"/>
        <v>-25</v>
      </c>
    </row>
    <row r="122">
      <c r="A122" s="30" t="s">
        <v>95</v>
      </c>
      <c r="B122" s="36" t="s">
        <v>123</v>
      </c>
      <c r="C122" s="34">
        <v>44.0</v>
      </c>
      <c r="D122" s="34">
        <v>48.6</v>
      </c>
      <c r="E122" s="31">
        <v>0.01</v>
      </c>
      <c r="F122" s="33">
        <v>44.0</v>
      </c>
      <c r="G122" s="35">
        <v>44.02</v>
      </c>
      <c r="H122" s="36">
        <v>50.0</v>
      </c>
      <c r="I122" s="35">
        <v>18750.12</v>
      </c>
      <c r="J122" s="37">
        <v>0.06324555320336758</v>
      </c>
      <c r="K122" s="10">
        <f t="shared" si="13"/>
        <v>0</v>
      </c>
      <c r="L122" s="10">
        <f t="shared" si="14"/>
        <v>-9.465020576</v>
      </c>
      <c r="M122" s="10">
        <f t="shared" si="15"/>
        <v>-9.423868313</v>
      </c>
      <c r="N122" s="10">
        <f t="shared" si="16"/>
        <v>-11.96</v>
      </c>
    </row>
    <row r="123">
      <c r="A123" s="30" t="s">
        <v>95</v>
      </c>
      <c r="B123" s="36" t="s">
        <v>124</v>
      </c>
      <c r="C123" s="34">
        <v>56.2</v>
      </c>
      <c r="D123" s="34">
        <v>61.0</v>
      </c>
      <c r="E123" s="31">
        <v>0.01</v>
      </c>
      <c r="F123" s="33">
        <v>56.2</v>
      </c>
      <c r="G123" s="35">
        <v>56.2</v>
      </c>
      <c r="H123" s="36">
        <v>61.6</v>
      </c>
      <c r="I123" s="35">
        <v>20313.6</v>
      </c>
      <c r="J123" s="37">
        <v>0.0</v>
      </c>
      <c r="K123" s="10">
        <f t="shared" si="13"/>
        <v>0</v>
      </c>
      <c r="L123" s="10">
        <f t="shared" si="14"/>
        <v>-7.868852459</v>
      </c>
      <c r="M123" s="10">
        <f t="shared" si="15"/>
        <v>-7.868852459</v>
      </c>
      <c r="N123" s="10">
        <f t="shared" si="16"/>
        <v>-8.766233766</v>
      </c>
    </row>
    <row r="124">
      <c r="A124" s="30" t="s">
        <v>95</v>
      </c>
      <c r="B124" s="36" t="s">
        <v>125</v>
      </c>
      <c r="C124" s="34">
        <v>67.2</v>
      </c>
      <c r="D124" s="34">
        <v>70.8</v>
      </c>
      <c r="E124" s="31">
        <v>0.01</v>
      </c>
      <c r="F124" s="33">
        <v>67.2</v>
      </c>
      <c r="G124" s="35">
        <v>67.24</v>
      </c>
      <c r="H124" s="36">
        <v>71.2</v>
      </c>
      <c r="I124" s="35">
        <v>20688.34</v>
      </c>
      <c r="J124" s="37">
        <v>0.12649110640673517</v>
      </c>
      <c r="K124" s="10">
        <f t="shared" si="13"/>
        <v>0</v>
      </c>
      <c r="L124" s="10">
        <f t="shared" si="14"/>
        <v>-5.084745763</v>
      </c>
      <c r="M124" s="10">
        <f t="shared" si="15"/>
        <v>-5.028248588</v>
      </c>
      <c r="N124" s="10">
        <f t="shared" si="16"/>
        <v>-5.561797753</v>
      </c>
    </row>
    <row r="125">
      <c r="A125" s="30" t="s">
        <v>95</v>
      </c>
      <c r="B125" s="38" t="s">
        <v>126</v>
      </c>
      <c r="C125" s="34">
        <v>20.2</v>
      </c>
      <c r="D125" s="34">
        <v>24.0</v>
      </c>
      <c r="E125" s="31">
        <v>0.0</v>
      </c>
      <c r="F125" s="33">
        <v>20.2</v>
      </c>
      <c r="G125" s="35">
        <v>20.68</v>
      </c>
      <c r="H125" s="36">
        <v>27.2</v>
      </c>
      <c r="I125" s="35">
        <v>19035.7</v>
      </c>
      <c r="J125" s="37">
        <v>0.24418213578245396</v>
      </c>
      <c r="K125" s="10">
        <f t="shared" si="13"/>
        <v>0</v>
      </c>
      <c r="L125" s="10">
        <f t="shared" si="14"/>
        <v>-15.83333333</v>
      </c>
      <c r="M125" s="10">
        <f t="shared" si="15"/>
        <v>-13.83333333</v>
      </c>
      <c r="N125" s="10">
        <f t="shared" si="16"/>
        <v>-23.97058824</v>
      </c>
    </row>
    <row r="126">
      <c r="A126" s="30" t="s">
        <v>95</v>
      </c>
      <c r="B126" s="38" t="s">
        <v>127</v>
      </c>
      <c r="C126" s="34">
        <v>45.0</v>
      </c>
      <c r="D126" s="34">
        <v>48.8</v>
      </c>
      <c r="E126" s="31">
        <v>0.01</v>
      </c>
      <c r="F126" s="33">
        <v>45.4</v>
      </c>
      <c r="G126" s="35">
        <v>45.44</v>
      </c>
      <c r="H126" s="36">
        <v>51.2</v>
      </c>
      <c r="I126" s="35">
        <v>20692.08</v>
      </c>
      <c r="J126" s="37">
        <v>0.08432740427115679</v>
      </c>
      <c r="K126" s="10">
        <f t="shared" si="13"/>
        <v>0.8888888889</v>
      </c>
      <c r="L126" s="10">
        <f t="shared" si="14"/>
        <v>-6.967213115</v>
      </c>
      <c r="M126" s="10">
        <f t="shared" si="15"/>
        <v>-6.885245902</v>
      </c>
      <c r="N126" s="10">
        <f t="shared" si="16"/>
        <v>-11.25</v>
      </c>
    </row>
    <row r="127">
      <c r="A127" s="30" t="s">
        <v>95</v>
      </c>
      <c r="B127" s="38" t="s">
        <v>128</v>
      </c>
      <c r="C127" s="34">
        <v>64.6</v>
      </c>
      <c r="D127" s="34">
        <v>67.4</v>
      </c>
      <c r="E127" s="31">
        <v>0.01</v>
      </c>
      <c r="F127" s="33">
        <v>64.6</v>
      </c>
      <c r="G127" s="35">
        <v>64.78</v>
      </c>
      <c r="H127" s="36">
        <v>66.2</v>
      </c>
      <c r="I127" s="35">
        <v>25447.48</v>
      </c>
      <c r="J127" s="37">
        <v>0.06324555320336758</v>
      </c>
      <c r="K127" s="10">
        <f t="shared" si="13"/>
        <v>0</v>
      </c>
      <c r="L127" s="10">
        <f t="shared" si="14"/>
        <v>-4.154302671</v>
      </c>
      <c r="M127" s="10">
        <f t="shared" si="15"/>
        <v>-3.887240356</v>
      </c>
      <c r="N127" s="10">
        <f t="shared" si="16"/>
        <v>-2.145015106</v>
      </c>
    </row>
    <row r="128">
      <c r="A128" s="30" t="s">
        <v>95</v>
      </c>
      <c r="B128" s="38" t="s">
        <v>129</v>
      </c>
      <c r="C128" s="34">
        <v>76.6</v>
      </c>
      <c r="D128" s="34">
        <v>78.6</v>
      </c>
      <c r="E128" s="31">
        <v>0.01</v>
      </c>
      <c r="F128" s="33">
        <v>76.6</v>
      </c>
      <c r="G128" s="35">
        <v>76.76</v>
      </c>
      <c r="H128" s="36">
        <v>78.8</v>
      </c>
      <c r="I128" s="35">
        <v>28161.64</v>
      </c>
      <c r="J128" s="37">
        <v>0.20201843364687558</v>
      </c>
      <c r="K128" s="10">
        <f t="shared" si="13"/>
        <v>0</v>
      </c>
      <c r="L128" s="10">
        <f t="shared" si="14"/>
        <v>-2.544529262</v>
      </c>
      <c r="M128" s="10">
        <f t="shared" si="15"/>
        <v>-2.340966921</v>
      </c>
      <c r="N128" s="10">
        <f t="shared" si="16"/>
        <v>-2.588832487</v>
      </c>
    </row>
    <row r="129">
      <c r="A129" s="30" t="s">
        <v>95</v>
      </c>
      <c r="B129" s="38" t="s">
        <v>130</v>
      </c>
      <c r="C129" s="34">
        <v>84.6</v>
      </c>
      <c r="D129" s="34">
        <v>86.0</v>
      </c>
      <c r="E129" s="31">
        <v>0.01</v>
      </c>
      <c r="F129" s="33">
        <v>84.6</v>
      </c>
      <c r="G129" s="35">
        <v>84.64</v>
      </c>
      <c r="H129" s="36">
        <v>85.8</v>
      </c>
      <c r="I129" s="35">
        <v>31282.26</v>
      </c>
      <c r="J129" s="37">
        <v>0.08432740427115679</v>
      </c>
      <c r="K129" s="10">
        <f t="shared" si="13"/>
        <v>0</v>
      </c>
      <c r="L129" s="10">
        <f t="shared" si="14"/>
        <v>-1.627906977</v>
      </c>
      <c r="M129" s="10">
        <f t="shared" si="15"/>
        <v>-1.581395349</v>
      </c>
      <c r="N129" s="10">
        <f t="shared" si="16"/>
        <v>-1.351981352</v>
      </c>
    </row>
    <row r="130">
      <c r="A130" s="30" t="s">
        <v>95</v>
      </c>
      <c r="B130" s="38" t="s">
        <v>131</v>
      </c>
      <c r="C130" s="34">
        <v>22.8</v>
      </c>
      <c r="D130" s="34">
        <v>27.0</v>
      </c>
      <c r="E130" s="31">
        <v>0.01</v>
      </c>
      <c r="F130" s="33">
        <v>23.6</v>
      </c>
      <c r="G130" s="35">
        <v>23.7</v>
      </c>
      <c r="H130" s="36">
        <v>33.6</v>
      </c>
      <c r="I130" s="35">
        <v>20363.16</v>
      </c>
      <c r="J130" s="37">
        <v>0.10540925533894599</v>
      </c>
      <c r="K130" s="10">
        <f t="shared" si="13"/>
        <v>3.50877193</v>
      </c>
      <c r="L130" s="10">
        <f t="shared" si="14"/>
        <v>-12.59259259</v>
      </c>
      <c r="M130" s="10">
        <f t="shared" si="15"/>
        <v>-12.22222222</v>
      </c>
      <c r="N130" s="10">
        <f t="shared" si="16"/>
        <v>-29.46428571</v>
      </c>
    </row>
    <row r="131">
      <c r="A131" s="30" t="s">
        <v>95</v>
      </c>
      <c r="B131" s="38" t="s">
        <v>132</v>
      </c>
      <c r="C131" s="34">
        <v>53.0</v>
      </c>
      <c r="D131" s="34">
        <v>58.2</v>
      </c>
      <c r="E131" s="31">
        <v>0.01</v>
      </c>
      <c r="F131" s="33">
        <v>53.4</v>
      </c>
      <c r="G131" s="35">
        <v>53.58</v>
      </c>
      <c r="H131" s="36">
        <v>60.2</v>
      </c>
      <c r="I131" s="35">
        <v>25098.72</v>
      </c>
      <c r="J131" s="37">
        <v>0.06324555320336758</v>
      </c>
      <c r="K131" s="10">
        <f t="shared" si="13"/>
        <v>0.7547169811</v>
      </c>
      <c r="L131" s="10">
        <f t="shared" si="14"/>
        <v>-8.24742268</v>
      </c>
      <c r="M131" s="10">
        <f t="shared" si="15"/>
        <v>-7.93814433</v>
      </c>
      <c r="N131" s="10">
        <f t="shared" si="16"/>
        <v>-10.99667774</v>
      </c>
    </row>
    <row r="132">
      <c r="A132" s="30" t="s">
        <v>95</v>
      </c>
      <c r="B132" s="38" t="s">
        <v>133</v>
      </c>
      <c r="C132" s="34">
        <v>78.4</v>
      </c>
      <c r="D132" s="34">
        <v>82.2</v>
      </c>
      <c r="E132" s="31">
        <v>0.01</v>
      </c>
      <c r="F132" s="33">
        <v>78.8</v>
      </c>
      <c r="G132" s="35">
        <v>78.96</v>
      </c>
      <c r="H132" s="36">
        <v>84.0</v>
      </c>
      <c r="I132" s="35">
        <v>28787.36</v>
      </c>
      <c r="J132" s="37">
        <v>0.2889943137118339</v>
      </c>
      <c r="K132" s="10">
        <f t="shared" si="13"/>
        <v>0.5102040816</v>
      </c>
      <c r="L132" s="10">
        <f t="shared" si="14"/>
        <v>-4.136253041</v>
      </c>
      <c r="M132" s="10">
        <f t="shared" si="15"/>
        <v>-3.941605839</v>
      </c>
      <c r="N132" s="10">
        <f t="shared" si="16"/>
        <v>-6</v>
      </c>
    </row>
    <row r="133">
      <c r="A133" s="30" t="s">
        <v>95</v>
      </c>
      <c r="B133" s="38" t="s">
        <v>134</v>
      </c>
      <c r="C133" s="34">
        <v>93.6</v>
      </c>
      <c r="D133" s="34">
        <v>96.8</v>
      </c>
      <c r="E133" s="31">
        <v>0.01</v>
      </c>
      <c r="F133" s="33">
        <v>93.8</v>
      </c>
      <c r="G133" s="35">
        <v>94.02</v>
      </c>
      <c r="H133" s="36">
        <v>98.2</v>
      </c>
      <c r="I133" s="35">
        <v>33391.5</v>
      </c>
      <c r="J133" s="37">
        <v>0.2698046650010965</v>
      </c>
      <c r="K133" s="10">
        <f t="shared" si="13"/>
        <v>0.2136752137</v>
      </c>
      <c r="L133" s="10">
        <f t="shared" si="14"/>
        <v>-3.099173554</v>
      </c>
      <c r="M133" s="10">
        <f t="shared" si="15"/>
        <v>-2.871900826</v>
      </c>
      <c r="N133" s="10">
        <f t="shared" si="16"/>
        <v>-4.256619145</v>
      </c>
    </row>
    <row r="134">
      <c r="A134" s="30" t="s">
        <v>95</v>
      </c>
      <c r="B134" s="38" t="s">
        <v>135</v>
      </c>
      <c r="C134" s="34">
        <v>103.2</v>
      </c>
      <c r="D134" s="34">
        <v>105.4</v>
      </c>
      <c r="E134" s="31">
        <v>0.01</v>
      </c>
      <c r="F134" s="33">
        <v>103.2</v>
      </c>
      <c r="G134" s="35">
        <v>103.28</v>
      </c>
      <c r="H134" s="36">
        <v>106.0</v>
      </c>
      <c r="I134" s="35">
        <v>37484.62</v>
      </c>
      <c r="J134" s="37">
        <v>0.16865480854231357</v>
      </c>
      <c r="K134" s="10">
        <f t="shared" si="13"/>
        <v>0</v>
      </c>
      <c r="L134" s="10">
        <f t="shared" si="14"/>
        <v>-2.087286528</v>
      </c>
      <c r="M134" s="10">
        <f t="shared" si="15"/>
        <v>-2.011385199</v>
      </c>
      <c r="N134" s="10">
        <f t="shared" si="16"/>
        <v>-2.566037736</v>
      </c>
    </row>
    <row r="135">
      <c r="A135" s="18" t="s">
        <v>38</v>
      </c>
      <c r="B135" s="19"/>
      <c r="C135" s="20"/>
      <c r="D135" s="20"/>
      <c r="E135" s="20"/>
      <c r="F135" s="21"/>
      <c r="G135" s="21"/>
      <c r="H135" s="20"/>
      <c r="I135" s="21"/>
      <c r="J135" s="20"/>
      <c r="K135" s="10">
        <f>IFERROR(__xludf.DUMMYFUNCTION("AVERAGE( FILTER( VALUE(K95:K134) , VALUE(K95:K134) &lt;&gt; 0 ) )"),1.19)</f>
        <v>1.19</v>
      </c>
      <c r="L135" s="10">
        <f>IFERROR(__xludf.DUMMYFUNCTION("AVERAGE( FILTER( VALUE(L95:L134) , VALUE(L95:L134) &lt;&gt; 0 ) )"),-6.42657894736842)</f>
        <v>-6.426578947</v>
      </c>
      <c r="M135" s="10">
        <f>IFERROR(__xludf.DUMMYFUNCTION("AVERAGE( FILTER( VALUE(M95:M134) , VALUE(M95:M134) &lt;&gt; 0 ) )"),-6.274210526315788)</f>
        <v>-6.274210526</v>
      </c>
      <c r="N135" s="10">
        <f>IFERROR(__xludf.DUMMYFUNCTION("AVERAGE( FILTER( VALUE(N95:N134) , VALUE(N95:N134) &lt;&gt; 0 ) )"),-9.075)</f>
        <v>-9.075</v>
      </c>
      <c r="O135" s="22"/>
      <c r="P135" s="22"/>
      <c r="R135" s="22"/>
      <c r="U135" s="23"/>
      <c r="V135" s="15"/>
      <c r="W135" s="15"/>
      <c r="X135" s="15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>
      <c r="A138" s="4"/>
      <c r="B138" s="5"/>
      <c r="C138" s="6" t="s">
        <v>136</v>
      </c>
      <c r="D138" s="6" t="s">
        <v>1</v>
      </c>
      <c r="F138" s="6" t="s">
        <v>2</v>
      </c>
      <c r="K138" s="5"/>
      <c r="L138" s="5"/>
      <c r="M138" s="5"/>
      <c r="N138" s="5"/>
    </row>
    <row r="139">
      <c r="A139" s="6" t="s">
        <v>3</v>
      </c>
      <c r="B139" s="6" t="s">
        <v>4</v>
      </c>
      <c r="C139" s="6" t="s">
        <v>5</v>
      </c>
      <c r="D139" s="6" t="s">
        <v>5</v>
      </c>
      <c r="E139" s="6" t="s">
        <v>6</v>
      </c>
      <c r="F139" s="6" t="s">
        <v>7</v>
      </c>
      <c r="G139" s="6" t="s">
        <v>8</v>
      </c>
      <c r="H139" s="6" t="s">
        <v>9</v>
      </c>
      <c r="I139" s="6" t="s">
        <v>6</v>
      </c>
      <c r="J139" s="6" t="s">
        <v>10</v>
      </c>
      <c r="K139" s="6" t="s">
        <v>137</v>
      </c>
      <c r="L139" s="6" t="s">
        <v>12</v>
      </c>
      <c r="M139" s="6" t="s">
        <v>13</v>
      </c>
      <c r="N139" s="6" t="s">
        <v>14</v>
      </c>
    </row>
    <row r="140">
      <c r="A140" s="30" t="s">
        <v>138</v>
      </c>
      <c r="B140" s="30" t="s">
        <v>139</v>
      </c>
      <c r="C140" s="31">
        <v>25.9</v>
      </c>
      <c r="D140" s="31">
        <v>31.9</v>
      </c>
      <c r="E140" s="31">
        <v>0.0</v>
      </c>
      <c r="F140" s="9">
        <v>26.7</v>
      </c>
      <c r="G140" s="9">
        <v>26.94</v>
      </c>
      <c r="H140" s="32">
        <v>39.3</v>
      </c>
      <c r="I140" s="9">
        <v>22574.49</v>
      </c>
      <c r="J140" s="9">
        <v>0.2158945479762376</v>
      </c>
      <c r="K140" s="10">
        <f t="shared" ref="K140:K154" si="17">(F140 - C140) / C140 * 100</f>
        <v>3.088803089</v>
      </c>
      <c r="L140" s="10">
        <f t="shared" ref="L140:L154" si="18">(F140 - D140) / D140 * 100</f>
        <v>-16.30094044</v>
      </c>
      <c r="M140" s="10">
        <f t="shared" ref="M140:M154" si="19">(G140 - D140) / D140 * 100</f>
        <v>-15.54858934</v>
      </c>
      <c r="N140" s="10">
        <f t="shared" ref="N140:N154" si="20">(G140 - H140) / H140 * 100</f>
        <v>-31.45038168</v>
      </c>
    </row>
    <row r="141">
      <c r="A141" s="30" t="s">
        <v>138</v>
      </c>
      <c r="B141" s="30" t="s">
        <v>140</v>
      </c>
      <c r="C141" s="31">
        <v>61.6</v>
      </c>
      <c r="D141" s="31">
        <v>68.8</v>
      </c>
      <c r="E141" s="31">
        <v>0.0</v>
      </c>
      <c r="F141" s="9">
        <v>61.8</v>
      </c>
      <c r="G141" s="9">
        <v>62.05</v>
      </c>
      <c r="H141" s="32">
        <v>69.3</v>
      </c>
      <c r="I141" s="9">
        <v>25611.46</v>
      </c>
      <c r="J141" s="9">
        <v>0.3341425442858585</v>
      </c>
      <c r="K141" s="10">
        <f t="shared" si="17"/>
        <v>0.3246753247</v>
      </c>
      <c r="L141" s="10">
        <f t="shared" si="18"/>
        <v>-10.1744186</v>
      </c>
      <c r="M141" s="10">
        <f t="shared" si="19"/>
        <v>-9.811046512</v>
      </c>
      <c r="N141" s="10">
        <f t="shared" si="20"/>
        <v>-10.46176046</v>
      </c>
    </row>
    <row r="142">
      <c r="A142" s="30" t="s">
        <v>138</v>
      </c>
      <c r="B142" s="30" t="s">
        <v>141</v>
      </c>
      <c r="C142" s="31">
        <v>93.2</v>
      </c>
      <c r="D142" s="31">
        <v>98.6</v>
      </c>
      <c r="E142" s="31">
        <v>0.0</v>
      </c>
      <c r="F142" s="9">
        <v>93.7</v>
      </c>
      <c r="G142" s="9">
        <v>93.98</v>
      </c>
      <c r="H142" s="32">
        <v>98.7</v>
      </c>
      <c r="I142" s="9">
        <v>31583.66</v>
      </c>
      <c r="J142" s="9">
        <v>0.3921338478817063</v>
      </c>
      <c r="K142" s="10">
        <f t="shared" si="17"/>
        <v>0.5364806867</v>
      </c>
      <c r="L142" s="10">
        <f t="shared" si="18"/>
        <v>-4.969574037</v>
      </c>
      <c r="M142" s="10">
        <f t="shared" si="19"/>
        <v>-4.685598377</v>
      </c>
      <c r="N142" s="10">
        <f t="shared" si="20"/>
        <v>-4.782168186</v>
      </c>
    </row>
    <row r="143">
      <c r="A143" s="30" t="s">
        <v>138</v>
      </c>
      <c r="B143" s="30" t="s">
        <v>142</v>
      </c>
      <c r="C143" s="31">
        <v>111.7</v>
      </c>
      <c r="D143" s="31">
        <v>116.1</v>
      </c>
      <c r="E143" s="31">
        <v>0.0</v>
      </c>
      <c r="F143" s="9">
        <v>111.9</v>
      </c>
      <c r="G143" s="9">
        <v>112.32</v>
      </c>
      <c r="H143" s="32">
        <v>115.4</v>
      </c>
      <c r="I143" s="9">
        <v>37044.59</v>
      </c>
      <c r="J143" s="9">
        <v>0.26526398685024316</v>
      </c>
      <c r="K143" s="10">
        <f t="shared" si="17"/>
        <v>0.1790510295</v>
      </c>
      <c r="L143" s="10">
        <f t="shared" si="18"/>
        <v>-3.617571059</v>
      </c>
      <c r="M143" s="10">
        <f t="shared" si="19"/>
        <v>-3.255813953</v>
      </c>
      <c r="N143" s="10">
        <f t="shared" si="20"/>
        <v>-2.66897747</v>
      </c>
    </row>
    <row r="144">
      <c r="A144" s="30" t="s">
        <v>138</v>
      </c>
      <c r="B144" s="30" t="s">
        <v>143</v>
      </c>
      <c r="C144" s="31">
        <v>123.9</v>
      </c>
      <c r="D144" s="31">
        <v>126.6</v>
      </c>
      <c r="E144" s="31">
        <v>0.0</v>
      </c>
      <c r="F144" s="9">
        <v>123.9</v>
      </c>
      <c r="G144" s="9">
        <v>123.96</v>
      </c>
      <c r="H144" s="32">
        <v>127.3</v>
      </c>
      <c r="I144" s="9">
        <v>41730.229999999996</v>
      </c>
      <c r="J144" s="9">
        <v>0.14317291895901618</v>
      </c>
      <c r="K144" s="10">
        <f t="shared" si="17"/>
        <v>0</v>
      </c>
      <c r="L144" s="10">
        <f t="shared" si="18"/>
        <v>-2.132701422</v>
      </c>
      <c r="M144" s="10">
        <f t="shared" si="19"/>
        <v>-2.085308057</v>
      </c>
      <c r="N144" s="10">
        <f t="shared" si="20"/>
        <v>-2.623723488</v>
      </c>
    </row>
    <row r="145">
      <c r="A145" s="30" t="s">
        <v>138</v>
      </c>
      <c r="B145" s="30" t="s">
        <v>144</v>
      </c>
      <c r="C145" s="31">
        <v>30.3</v>
      </c>
      <c r="D145" s="31">
        <v>37.8</v>
      </c>
      <c r="E145" s="31">
        <v>0.0</v>
      </c>
      <c r="F145" s="9">
        <v>31.2</v>
      </c>
      <c r="G145" s="9">
        <v>31.68</v>
      </c>
      <c r="H145" s="32">
        <v>44.5</v>
      </c>
      <c r="I145" s="9">
        <v>23560.75</v>
      </c>
      <c r="J145" s="9">
        <v>0.2958219137318862</v>
      </c>
      <c r="K145" s="10">
        <f t="shared" si="17"/>
        <v>2.97029703</v>
      </c>
      <c r="L145" s="10">
        <f t="shared" si="18"/>
        <v>-17.46031746</v>
      </c>
      <c r="M145" s="10">
        <f t="shared" si="19"/>
        <v>-16.19047619</v>
      </c>
      <c r="N145" s="10">
        <f t="shared" si="20"/>
        <v>-28.80898876</v>
      </c>
    </row>
    <row r="146">
      <c r="A146" s="30" t="s">
        <v>138</v>
      </c>
      <c r="B146" s="30" t="s">
        <v>145</v>
      </c>
      <c r="C146" s="31">
        <v>73.7</v>
      </c>
      <c r="D146" s="31">
        <v>82.3</v>
      </c>
      <c r="E146" s="31">
        <v>0.0</v>
      </c>
      <c r="F146" s="9">
        <v>74.3</v>
      </c>
      <c r="G146" s="9">
        <v>74.64</v>
      </c>
      <c r="H146" s="32">
        <v>83.0</v>
      </c>
      <c r="I146" s="9">
        <v>30382.12</v>
      </c>
      <c r="J146" s="9">
        <v>0.42168303272001584</v>
      </c>
      <c r="K146" s="10">
        <f t="shared" si="17"/>
        <v>0.8141112619</v>
      </c>
      <c r="L146" s="10">
        <f t="shared" si="18"/>
        <v>-9.720534629</v>
      </c>
      <c r="M146" s="10">
        <f t="shared" si="19"/>
        <v>-9.307411908</v>
      </c>
      <c r="N146" s="10">
        <f t="shared" si="20"/>
        <v>-10.07228916</v>
      </c>
    </row>
    <row r="147">
      <c r="A147" s="30" t="s">
        <v>138</v>
      </c>
      <c r="B147" s="30" t="s">
        <v>146</v>
      </c>
      <c r="C147" s="34">
        <v>107.7</v>
      </c>
      <c r="D147" s="34">
        <v>114.7</v>
      </c>
      <c r="E147" s="31">
        <v>0.0</v>
      </c>
      <c r="F147" s="9">
        <v>108.2</v>
      </c>
      <c r="G147" s="9">
        <v>108.38</v>
      </c>
      <c r="H147" s="32">
        <v>115.5</v>
      </c>
      <c r="I147" s="9">
        <v>35780.4</v>
      </c>
      <c r="J147" s="9">
        <v>0.2624582886273242</v>
      </c>
      <c r="K147" s="10">
        <f t="shared" si="17"/>
        <v>0.4642525534</v>
      </c>
      <c r="L147" s="10">
        <f t="shared" si="18"/>
        <v>-5.66695728</v>
      </c>
      <c r="M147" s="10">
        <f t="shared" si="19"/>
        <v>-5.510026155</v>
      </c>
      <c r="N147" s="10">
        <f t="shared" si="20"/>
        <v>-6.164502165</v>
      </c>
    </row>
    <row r="148">
      <c r="A148" s="30" t="s">
        <v>138</v>
      </c>
      <c r="B148" s="30" t="s">
        <v>147</v>
      </c>
      <c r="C148" s="34">
        <v>128.3</v>
      </c>
      <c r="D148" s="34">
        <v>133.6</v>
      </c>
      <c r="E148" s="31">
        <v>0.0</v>
      </c>
      <c r="F148" s="9">
        <v>128.4</v>
      </c>
      <c r="G148" s="9">
        <v>128.97</v>
      </c>
      <c r="H148" s="32">
        <v>133.6</v>
      </c>
      <c r="I148" s="9">
        <v>41606.24</v>
      </c>
      <c r="J148" s="9">
        <v>0.4885537171722299</v>
      </c>
      <c r="K148" s="10">
        <f t="shared" si="17"/>
        <v>0.07794232268</v>
      </c>
      <c r="L148" s="10">
        <f t="shared" si="18"/>
        <v>-3.892215569</v>
      </c>
      <c r="M148" s="10">
        <f t="shared" si="19"/>
        <v>-3.465568862</v>
      </c>
      <c r="N148" s="10">
        <f t="shared" si="20"/>
        <v>-3.465568862</v>
      </c>
    </row>
    <row r="149">
      <c r="A149" s="30" t="s">
        <v>138</v>
      </c>
      <c r="B149" s="30" t="s">
        <v>148</v>
      </c>
      <c r="C149" s="34">
        <v>143.5</v>
      </c>
      <c r="D149" s="34">
        <v>147.6</v>
      </c>
      <c r="E149" s="31">
        <v>0.0</v>
      </c>
      <c r="F149" s="9">
        <v>143.6</v>
      </c>
      <c r="G149" s="9">
        <v>143.84</v>
      </c>
      <c r="H149" s="32">
        <v>147.1</v>
      </c>
      <c r="I149" s="9">
        <v>49321.009999999995</v>
      </c>
      <c r="J149" s="9">
        <v>0.30969802806124824</v>
      </c>
      <c r="K149" s="10">
        <f t="shared" si="17"/>
        <v>0.06968641115</v>
      </c>
      <c r="L149" s="10">
        <f t="shared" si="18"/>
        <v>-2.7100271</v>
      </c>
      <c r="M149" s="10">
        <f t="shared" si="19"/>
        <v>-2.547425474</v>
      </c>
      <c r="N149" s="10">
        <f t="shared" si="20"/>
        <v>-2.21617947</v>
      </c>
    </row>
    <row r="150">
      <c r="A150" s="30" t="s">
        <v>138</v>
      </c>
      <c r="B150" s="30" t="s">
        <v>149</v>
      </c>
      <c r="C150" s="34">
        <v>36.0</v>
      </c>
      <c r="D150" s="34">
        <v>44.7</v>
      </c>
      <c r="E150" s="31">
        <v>0.0</v>
      </c>
      <c r="F150" s="9">
        <v>37.0</v>
      </c>
      <c r="G150" s="9">
        <v>37.42</v>
      </c>
      <c r="H150" s="32">
        <v>50.1</v>
      </c>
      <c r="I150" s="9">
        <v>27742.37</v>
      </c>
      <c r="J150" s="9">
        <v>0.3757492794875348</v>
      </c>
      <c r="K150" s="10">
        <f t="shared" si="17"/>
        <v>2.777777778</v>
      </c>
      <c r="L150" s="10">
        <f t="shared" si="18"/>
        <v>-17.22595078</v>
      </c>
      <c r="M150" s="10">
        <f t="shared" si="19"/>
        <v>-16.28635347</v>
      </c>
      <c r="N150" s="10">
        <f t="shared" si="20"/>
        <v>-25.30938124</v>
      </c>
    </row>
    <row r="151">
      <c r="A151" s="30" t="s">
        <v>138</v>
      </c>
      <c r="B151" s="30" t="s">
        <v>150</v>
      </c>
      <c r="C151" s="34">
        <v>84.3</v>
      </c>
      <c r="D151" s="34">
        <v>91.8</v>
      </c>
      <c r="E151" s="31">
        <v>0.0</v>
      </c>
      <c r="F151" s="9">
        <v>83.5</v>
      </c>
      <c r="G151" s="9">
        <v>83.95</v>
      </c>
      <c r="H151" s="32">
        <v>94.0</v>
      </c>
      <c r="I151" s="9">
        <v>33646.72</v>
      </c>
      <c r="J151" s="9">
        <v>0.3928612952575434</v>
      </c>
      <c r="K151" s="10">
        <f t="shared" si="17"/>
        <v>-0.9489916963</v>
      </c>
      <c r="L151" s="10">
        <f t="shared" si="18"/>
        <v>-9.041394336</v>
      </c>
      <c r="M151" s="10">
        <f t="shared" si="19"/>
        <v>-8.551198257</v>
      </c>
      <c r="N151" s="10">
        <f t="shared" si="20"/>
        <v>-10.69148936</v>
      </c>
    </row>
    <row r="152">
      <c r="A152" s="30" t="s">
        <v>138</v>
      </c>
      <c r="B152" s="30" t="s">
        <v>151</v>
      </c>
      <c r="C152" s="34">
        <v>121.5</v>
      </c>
      <c r="D152" s="34">
        <v>129.0</v>
      </c>
      <c r="E152" s="31">
        <v>0.0</v>
      </c>
      <c r="F152" s="9">
        <v>121.2</v>
      </c>
      <c r="G152" s="9">
        <v>121.65</v>
      </c>
      <c r="H152" s="32">
        <v>128.4</v>
      </c>
      <c r="I152" s="9">
        <v>40497.97</v>
      </c>
      <c r="J152" s="9">
        <v>0.42463058006951615</v>
      </c>
      <c r="K152" s="10">
        <f t="shared" si="17"/>
        <v>-0.2469135802</v>
      </c>
      <c r="L152" s="10">
        <f t="shared" si="18"/>
        <v>-6.046511628</v>
      </c>
      <c r="M152" s="10">
        <f t="shared" si="19"/>
        <v>-5.697674419</v>
      </c>
      <c r="N152" s="10">
        <f t="shared" si="20"/>
        <v>-5.257009346</v>
      </c>
    </row>
    <row r="153">
      <c r="A153" s="30" t="s">
        <v>138</v>
      </c>
      <c r="B153" s="30" t="s">
        <v>152</v>
      </c>
      <c r="C153" s="34">
        <v>147.1</v>
      </c>
      <c r="D153" s="34">
        <v>153.2</v>
      </c>
      <c r="E153" s="31">
        <v>0.0</v>
      </c>
      <c r="F153" s="9">
        <v>147.2</v>
      </c>
      <c r="G153" s="9">
        <v>147.88</v>
      </c>
      <c r="H153" s="32">
        <v>153.4</v>
      </c>
      <c r="I153" s="9">
        <v>48040.52</v>
      </c>
      <c r="J153" s="9">
        <v>0.49144957364764996</v>
      </c>
      <c r="K153" s="10">
        <f t="shared" si="17"/>
        <v>0.06798096533</v>
      </c>
      <c r="L153" s="10">
        <f t="shared" si="18"/>
        <v>-3.916449086</v>
      </c>
      <c r="M153" s="10">
        <f t="shared" si="19"/>
        <v>-3.472584856</v>
      </c>
      <c r="N153" s="10">
        <f t="shared" si="20"/>
        <v>-3.598435463</v>
      </c>
    </row>
    <row r="154">
      <c r="A154" s="30" t="s">
        <v>138</v>
      </c>
      <c r="B154" s="30" t="s">
        <v>153</v>
      </c>
      <c r="C154" s="34">
        <v>162.8</v>
      </c>
      <c r="D154" s="34">
        <v>167.6</v>
      </c>
      <c r="E154" s="31">
        <v>0.0</v>
      </c>
      <c r="F154" s="9">
        <v>163.1</v>
      </c>
      <c r="G154" s="9">
        <v>163.54</v>
      </c>
      <c r="H154" s="32">
        <v>167.2</v>
      </c>
      <c r="I154" s="9">
        <v>55776.16</v>
      </c>
      <c r="J154" s="9">
        <v>0.40882031951769493</v>
      </c>
      <c r="K154" s="10">
        <f t="shared" si="17"/>
        <v>0.1842751843</v>
      </c>
      <c r="L154" s="10">
        <f t="shared" si="18"/>
        <v>-2.6849642</v>
      </c>
      <c r="M154" s="10">
        <f t="shared" si="19"/>
        <v>-2.422434368</v>
      </c>
      <c r="N154" s="10">
        <f t="shared" si="20"/>
        <v>-2.188995215</v>
      </c>
    </row>
    <row r="155">
      <c r="A155" s="18" t="s">
        <v>38</v>
      </c>
      <c r="B155" s="19"/>
      <c r="C155" s="20"/>
      <c r="D155" s="20"/>
      <c r="E155" s="20"/>
      <c r="F155" s="21"/>
      <c r="G155" s="21"/>
      <c r="H155" s="20"/>
      <c r="I155" s="21"/>
      <c r="J155" s="20"/>
      <c r="K155" s="10">
        <f>IFERROR(__xludf.DUMMYFUNCTION("AVERAGE( FILTER( VALUE(K140:K154) , VALUE(K140:K154) &lt;&gt; 0 ) )"),0.7392857142857144)</f>
        <v>0.7392857143</v>
      </c>
      <c r="L155" s="10">
        <f>IFERROR(__xludf.DUMMYFUNCTION("AVERAGE( FILTER( VALUE(L140:L154) , VALUE(L140:L154) &lt;&gt; 0 ) )"),-7.704)</f>
        <v>-7.704</v>
      </c>
      <c r="M155" s="10">
        <f>IFERROR(__xludf.DUMMYFUNCTION("AVERAGE( FILTER( VALUE(M140:M154) , VALUE(M140:M154) &lt;&gt; 0 ) )"),-7.257333333333333)</f>
        <v>-7.257333333</v>
      </c>
      <c r="N155" s="10">
        <f>IFERROR(__xludf.DUMMYFUNCTION("AVERAGE( FILTER( VALUE(N140:N154) , VALUE(N140:N154) &lt;&gt; 0 ) )"),-9.983999999999998)</f>
        <v>-9.984</v>
      </c>
      <c r="O155" s="22"/>
      <c r="P155" s="22"/>
      <c r="R155" s="22"/>
      <c r="U155" s="23"/>
      <c r="V155" s="15"/>
      <c r="W155" s="15"/>
      <c r="X155" s="15"/>
    </row>
    <row r="156">
      <c r="A156" s="30"/>
      <c r="B156" s="36"/>
      <c r="C156" s="26"/>
      <c r="D156" s="26"/>
      <c r="E156" s="29"/>
      <c r="F156" s="9"/>
      <c r="G156" s="9"/>
      <c r="H156" s="26"/>
      <c r="I156" s="9"/>
      <c r="J156" s="9"/>
      <c r="K156" s="10"/>
      <c r="L156" s="10"/>
      <c r="M156" s="10"/>
      <c r="N156" s="10"/>
    </row>
    <row r="157">
      <c r="A157" s="30"/>
      <c r="B157" s="36"/>
      <c r="C157" s="26"/>
      <c r="D157" s="26"/>
      <c r="E157" s="29"/>
      <c r="F157" s="9"/>
      <c r="G157" s="9"/>
      <c r="H157" s="26"/>
      <c r="I157" s="9"/>
      <c r="J157" s="9"/>
      <c r="K157" s="10"/>
      <c r="L157" s="10"/>
      <c r="M157" s="10"/>
      <c r="N157" s="10"/>
    </row>
    <row r="158">
      <c r="A158" s="30"/>
      <c r="B158" s="36"/>
      <c r="C158" s="26"/>
      <c r="D158" s="26"/>
      <c r="E158" s="29"/>
      <c r="F158" s="9"/>
      <c r="G158" s="9"/>
      <c r="H158" s="26"/>
      <c r="I158" s="9"/>
      <c r="J158" s="9"/>
      <c r="K158" s="10"/>
      <c r="L158" s="10"/>
      <c r="M158" s="10"/>
      <c r="N158" s="10"/>
    </row>
    <row r="159">
      <c r="A159" s="30"/>
      <c r="B159" s="36"/>
      <c r="C159" s="26"/>
      <c r="D159" s="26"/>
      <c r="E159" s="29"/>
      <c r="F159" s="9"/>
      <c r="G159" s="9"/>
      <c r="H159" s="26"/>
      <c r="I159" s="9"/>
      <c r="J159" s="9"/>
      <c r="K159" s="10"/>
      <c r="L159" s="10"/>
      <c r="M159" s="10"/>
      <c r="N159" s="10"/>
    </row>
    <row r="160">
      <c r="A160" s="30"/>
      <c r="B160" s="36"/>
      <c r="C160" s="26"/>
      <c r="D160" s="26"/>
      <c r="E160" s="29"/>
      <c r="F160" s="9"/>
      <c r="G160" s="9"/>
      <c r="H160" s="26"/>
      <c r="I160" s="9"/>
      <c r="J160" s="9"/>
      <c r="K160" s="10"/>
      <c r="L160" s="10"/>
      <c r="M160" s="10"/>
      <c r="N160" s="10"/>
    </row>
    <row r="161">
      <c r="A161" s="30"/>
      <c r="B161" s="36"/>
      <c r="C161" s="26"/>
      <c r="D161" s="26"/>
      <c r="E161" s="29"/>
      <c r="F161" s="9"/>
      <c r="G161" s="9"/>
      <c r="H161" s="26"/>
      <c r="I161" s="9"/>
      <c r="J161" s="9"/>
      <c r="K161" s="10"/>
      <c r="L161" s="10"/>
      <c r="M161" s="10"/>
      <c r="N161" s="10"/>
    </row>
    <row r="162">
      <c r="A162" s="30"/>
      <c r="B162" s="36"/>
      <c r="C162" s="26"/>
      <c r="D162" s="26"/>
      <c r="E162" s="29"/>
      <c r="F162" s="9"/>
      <c r="G162" s="9"/>
      <c r="H162" s="8"/>
      <c r="I162" s="9"/>
      <c r="J162" s="9"/>
      <c r="K162" s="10"/>
      <c r="L162" s="10"/>
      <c r="M162" s="10"/>
      <c r="N162" s="10"/>
    </row>
    <row r="163">
      <c r="A163" s="30"/>
      <c r="B163" s="36"/>
      <c r="C163" s="26"/>
      <c r="D163" s="26"/>
      <c r="E163" s="29"/>
      <c r="F163" s="9"/>
      <c r="G163" s="9"/>
      <c r="H163" s="8"/>
      <c r="I163" s="9"/>
      <c r="J163" s="9"/>
      <c r="K163" s="10"/>
      <c r="L163" s="10"/>
      <c r="M163" s="10"/>
      <c r="N163" s="10"/>
    </row>
    <row r="164">
      <c r="A164" s="30"/>
      <c r="B164" s="36"/>
      <c r="C164" s="26"/>
      <c r="D164" s="26"/>
      <c r="E164" s="29"/>
      <c r="F164" s="33"/>
      <c r="G164" s="35"/>
      <c r="H164" s="36"/>
      <c r="I164" s="35"/>
      <c r="J164" s="35"/>
      <c r="K164" s="10"/>
      <c r="L164" s="10"/>
      <c r="M164" s="10"/>
      <c r="N164" s="10"/>
    </row>
    <row r="165">
      <c r="A165" s="30"/>
      <c r="B165" s="36"/>
      <c r="C165" s="26"/>
      <c r="D165" s="26"/>
      <c r="E165" s="29"/>
      <c r="F165" s="33"/>
      <c r="G165" s="35"/>
      <c r="H165" s="36"/>
      <c r="I165" s="35"/>
      <c r="J165" s="35"/>
      <c r="K165" s="10"/>
      <c r="L165" s="10"/>
      <c r="M165" s="10"/>
      <c r="N165" s="10"/>
    </row>
    <row r="166">
      <c r="A166" s="30"/>
      <c r="B166" s="36"/>
      <c r="C166" s="26"/>
      <c r="D166" s="26"/>
      <c r="E166" s="29"/>
      <c r="F166" s="33"/>
      <c r="G166" s="35"/>
      <c r="H166" s="36"/>
      <c r="I166" s="35"/>
      <c r="J166" s="35"/>
      <c r="K166" s="10"/>
      <c r="L166" s="10"/>
      <c r="M166" s="10"/>
      <c r="N166" s="10"/>
    </row>
    <row r="167">
      <c r="A167" s="30"/>
      <c r="B167" s="36"/>
      <c r="C167" s="26"/>
      <c r="D167" s="26"/>
      <c r="E167" s="29"/>
      <c r="F167" s="33"/>
      <c r="G167" s="35"/>
      <c r="H167" s="36"/>
      <c r="I167" s="35"/>
      <c r="J167" s="35"/>
      <c r="K167" s="10"/>
      <c r="L167" s="10"/>
      <c r="M167" s="10"/>
      <c r="N167" s="10"/>
    </row>
    <row r="168">
      <c r="A168" s="30"/>
      <c r="B168" s="36"/>
      <c r="C168" s="26"/>
      <c r="D168" s="26"/>
      <c r="E168" s="29"/>
      <c r="F168" s="33"/>
      <c r="G168" s="35"/>
      <c r="H168" s="36"/>
      <c r="I168" s="35"/>
      <c r="J168" s="35"/>
      <c r="K168" s="10"/>
      <c r="L168" s="10"/>
      <c r="M168" s="10"/>
      <c r="N168" s="10"/>
    </row>
    <row r="169">
      <c r="A169" s="30"/>
      <c r="B169" s="36"/>
      <c r="C169" s="26"/>
      <c r="D169" s="26"/>
      <c r="E169" s="29"/>
      <c r="F169" s="33"/>
      <c r="G169" s="35"/>
      <c r="H169" s="36"/>
      <c r="I169" s="35"/>
      <c r="J169" s="35"/>
      <c r="K169" s="10"/>
      <c r="L169" s="10"/>
      <c r="M169" s="10"/>
      <c r="N169" s="10"/>
    </row>
    <row r="170">
      <c r="A170" s="30"/>
      <c r="B170" s="38"/>
      <c r="C170" s="26"/>
      <c r="D170" s="26"/>
      <c r="E170" s="29"/>
      <c r="F170" s="33"/>
      <c r="G170" s="35"/>
      <c r="H170" s="36"/>
      <c r="I170" s="35"/>
      <c r="J170" s="35"/>
      <c r="K170" s="10"/>
      <c r="L170" s="10"/>
      <c r="M170" s="10"/>
      <c r="N170" s="10"/>
    </row>
    <row r="171">
      <c r="A171" s="30"/>
      <c r="B171" s="38"/>
      <c r="C171" s="26"/>
      <c r="D171" s="26"/>
      <c r="E171" s="29"/>
      <c r="F171" s="33"/>
      <c r="G171" s="35"/>
      <c r="H171" s="36"/>
      <c r="I171" s="35"/>
      <c r="J171" s="35"/>
      <c r="K171" s="10"/>
      <c r="L171" s="10"/>
      <c r="M171" s="10"/>
      <c r="N171" s="10"/>
    </row>
    <row r="172">
      <c r="A172" s="30"/>
      <c r="B172" s="38"/>
      <c r="C172" s="26"/>
      <c r="D172" s="26"/>
      <c r="E172" s="29"/>
      <c r="F172" s="33"/>
      <c r="G172" s="35"/>
      <c r="H172" s="36"/>
      <c r="I172" s="35"/>
      <c r="J172" s="35"/>
      <c r="K172" s="10"/>
      <c r="L172" s="10"/>
      <c r="M172" s="10"/>
      <c r="N172" s="10"/>
    </row>
    <row r="173">
      <c r="A173" s="30"/>
      <c r="B173" s="38"/>
      <c r="C173" s="26"/>
      <c r="D173" s="26"/>
      <c r="E173" s="29"/>
      <c r="F173" s="33"/>
      <c r="G173" s="35"/>
      <c r="H173" s="36"/>
      <c r="I173" s="35"/>
      <c r="J173" s="35"/>
      <c r="K173" s="10"/>
      <c r="L173" s="10"/>
      <c r="M173" s="10"/>
      <c r="N173" s="10"/>
    </row>
    <row r="174">
      <c r="A174" s="30"/>
      <c r="B174" s="38"/>
      <c r="C174" s="26"/>
      <c r="D174" s="26"/>
      <c r="E174" s="29"/>
      <c r="F174" s="33"/>
      <c r="G174" s="35"/>
      <c r="H174" s="36"/>
      <c r="I174" s="35"/>
      <c r="J174" s="35"/>
      <c r="K174" s="10"/>
      <c r="L174" s="10"/>
      <c r="M174" s="10"/>
      <c r="N174" s="10"/>
    </row>
    <row r="175">
      <c r="A175" s="30"/>
      <c r="B175" s="38"/>
      <c r="C175" s="26"/>
      <c r="D175" s="26"/>
      <c r="E175" s="29"/>
      <c r="F175" s="33"/>
      <c r="G175" s="35"/>
      <c r="H175" s="36"/>
      <c r="I175" s="35"/>
      <c r="J175" s="35"/>
      <c r="K175" s="10"/>
      <c r="L175" s="10"/>
      <c r="M175" s="10"/>
      <c r="N175" s="10"/>
    </row>
    <row r="176">
      <c r="A176" s="30"/>
      <c r="B176" s="38"/>
      <c r="C176" s="26"/>
      <c r="D176" s="26"/>
      <c r="E176" s="29"/>
      <c r="F176" s="33"/>
      <c r="G176" s="35"/>
      <c r="H176" s="36"/>
      <c r="I176" s="35"/>
      <c r="J176" s="35"/>
      <c r="K176" s="10"/>
      <c r="L176" s="10"/>
      <c r="M176" s="10"/>
      <c r="N176" s="10"/>
    </row>
    <row r="177">
      <c r="A177" s="30"/>
      <c r="B177" s="38"/>
      <c r="C177" s="26"/>
      <c r="D177" s="26"/>
      <c r="E177" s="29"/>
      <c r="F177" s="33"/>
      <c r="G177" s="35"/>
      <c r="H177" s="36"/>
      <c r="I177" s="35"/>
      <c r="J177" s="35"/>
      <c r="K177" s="10"/>
      <c r="L177" s="10"/>
      <c r="M177" s="10"/>
      <c r="N177" s="10"/>
    </row>
    <row r="178">
      <c r="A178" s="30"/>
      <c r="B178" s="38"/>
      <c r="C178" s="26"/>
      <c r="D178" s="26"/>
      <c r="E178" s="29"/>
      <c r="F178" s="33"/>
      <c r="G178" s="35"/>
      <c r="H178" s="36"/>
      <c r="I178" s="35"/>
      <c r="J178" s="35"/>
      <c r="K178" s="10"/>
      <c r="L178" s="10"/>
      <c r="M178" s="10"/>
      <c r="N178" s="10"/>
    </row>
    <row r="179">
      <c r="A179" s="30"/>
      <c r="B179" s="38"/>
      <c r="C179" s="26"/>
      <c r="D179" s="26"/>
      <c r="E179" s="29"/>
      <c r="F179" s="33"/>
      <c r="G179" s="35"/>
      <c r="H179" s="36"/>
      <c r="I179" s="35"/>
      <c r="J179" s="35"/>
      <c r="K179" s="10"/>
      <c r="L179" s="10"/>
      <c r="M179" s="10"/>
      <c r="N179" s="10"/>
    </row>
  </sheetData>
  <mergeCells count="10">
    <mergeCell ref="D93:E93"/>
    <mergeCell ref="D138:E138"/>
    <mergeCell ref="F138:J138"/>
    <mergeCell ref="D2:E2"/>
    <mergeCell ref="F2:J2"/>
    <mergeCell ref="D29:E29"/>
    <mergeCell ref="F29:J29"/>
    <mergeCell ref="D58:E58"/>
    <mergeCell ref="F58:J58"/>
    <mergeCell ref="F93:J93"/>
  </mergeCells>
  <conditionalFormatting sqref="A4:A25 B4:B7 O4:P68 R4:R68 A31:A54 B31:B34 A60:A89 B60:B63 O90:P90 R90 A95:A134 B95:B98 O135:P135 R135 A140:B154 O155:P155 R155 A156:A179">
    <cfRule type="cellIs" dxfId="0" priority="1" operator="lessThan">
      <formula>0</formula>
    </cfRule>
  </conditionalFormatting>
  <conditionalFormatting sqref="K4:L29 M4:N90 K31:L58 K60:L90 K93:L93 M93:N179 K95:L138 K140:L179">
    <cfRule type="cellIs" dxfId="0" priority="2" operator="lessThan">
      <formula>0</formula>
    </cfRule>
  </conditionalFormatting>
  <conditionalFormatting sqref="K4:L29 M4:N90 K31:L58 K60:L90 K93:L93 M93:N179 K95:L138 K140:L179">
    <cfRule type="cellIs" dxfId="1" priority="3" operator="greaterThan">
      <formula>0</formula>
    </cfRule>
  </conditionalFormatting>
  <conditionalFormatting sqref="K4:N26 K31:N55 K60:N90 K95:N135 K140:N155">
    <cfRule type="cellIs" dxfId="2" priority="4" operator="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0"/>
    <col customWidth="1" min="4" max="4" width="21.25"/>
    <col customWidth="1" min="5" max="5" width="21.5"/>
    <col customWidth="1" min="6" max="6" width="20.88"/>
    <col customWidth="1" min="9" max="9" width="20.25"/>
    <col customWidth="1" min="10" max="10" width="17.63"/>
    <col customWidth="1" min="11" max="11" width="15.5"/>
    <col customWidth="1" min="12" max="12" width="15.88"/>
  </cols>
  <sheetData>
    <row r="1">
      <c r="A1" s="1"/>
      <c r="B1" s="2"/>
      <c r="C1" s="3"/>
      <c r="D1" s="3"/>
      <c r="E1" s="3"/>
      <c r="F1" s="3"/>
      <c r="G1" s="2"/>
      <c r="H1" s="3"/>
      <c r="I1" s="3"/>
      <c r="J1" s="3"/>
      <c r="K1" s="3"/>
      <c r="L1" s="3"/>
    </row>
    <row r="2">
      <c r="A2" s="4"/>
      <c r="B2" s="5"/>
      <c r="C2" s="6" t="s">
        <v>1</v>
      </c>
      <c r="E2" s="6" t="s">
        <v>2</v>
      </c>
      <c r="J2" s="5"/>
      <c r="K2" s="5"/>
      <c r="L2" s="5"/>
      <c r="M2" s="3"/>
    </row>
    <row r="3">
      <c r="A3" s="6" t="s">
        <v>154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6</v>
      </c>
      <c r="I3" s="6" t="s">
        <v>10</v>
      </c>
      <c r="J3" s="6" t="s">
        <v>155</v>
      </c>
      <c r="K3" s="6" t="s">
        <v>13</v>
      </c>
      <c r="L3" s="6" t="s">
        <v>14</v>
      </c>
      <c r="M3" s="3"/>
    </row>
    <row r="4">
      <c r="A4" s="4" t="s">
        <v>156</v>
      </c>
      <c r="B4" s="39">
        <v>2.0</v>
      </c>
      <c r="C4" s="40">
        <v>82.6</v>
      </c>
      <c r="D4" s="40">
        <v>0.03</v>
      </c>
      <c r="E4" s="41">
        <v>70.5</v>
      </c>
      <c r="F4" s="41">
        <v>71.12</v>
      </c>
      <c r="G4" s="32">
        <v>99.7</v>
      </c>
      <c r="H4" s="41">
        <v>53669.36</v>
      </c>
      <c r="I4" s="41">
        <v>0.5999769298583397</v>
      </c>
      <c r="J4" s="29">
        <f t="shared" ref="J4:J64" si="1">(E4 - C4) / C4 * 100</f>
        <v>-14.64891041</v>
      </c>
      <c r="K4" s="29">
        <f t="shared" ref="K4:K64" si="2">(F4 - C4) / C4 * 100</f>
        <v>-13.89830508</v>
      </c>
      <c r="L4" s="29">
        <f t="shared" ref="L4:L64" si="3">(F4 - G4) / G4 * 100</f>
        <v>-28.66599799</v>
      </c>
      <c r="P4" s="2"/>
      <c r="Q4" s="2"/>
      <c r="R4" s="5"/>
      <c r="S4" s="5"/>
      <c r="T4" s="5"/>
      <c r="U4" s="5"/>
      <c r="V4" s="2"/>
      <c r="W4" s="3"/>
      <c r="X4" s="3"/>
      <c r="Y4" s="3"/>
      <c r="Z4" s="3"/>
      <c r="AA4" s="3"/>
    </row>
    <row r="5">
      <c r="A5" s="4" t="s">
        <v>156</v>
      </c>
      <c r="B5" s="39">
        <v>4.0</v>
      </c>
      <c r="C5" s="40">
        <v>177.6</v>
      </c>
      <c r="D5" s="40">
        <v>0.04</v>
      </c>
      <c r="E5" s="41">
        <v>162.8</v>
      </c>
      <c r="F5" s="41">
        <v>163.56</v>
      </c>
      <c r="G5" s="32">
        <v>181.9</v>
      </c>
      <c r="H5" s="41">
        <v>67942.38</v>
      </c>
      <c r="I5" s="41">
        <v>0.7950479712957697</v>
      </c>
      <c r="J5" s="29">
        <f t="shared" si="1"/>
        <v>-8.333333333</v>
      </c>
      <c r="K5" s="29">
        <f t="shared" si="2"/>
        <v>-7.905405405</v>
      </c>
      <c r="L5" s="29">
        <f t="shared" si="3"/>
        <v>-10.08246289</v>
      </c>
      <c r="P5" s="2"/>
      <c r="Q5" s="2"/>
      <c r="R5" s="5"/>
      <c r="S5" s="5"/>
      <c r="T5" s="5"/>
      <c r="U5" s="5"/>
      <c r="V5" s="2"/>
      <c r="W5" s="3"/>
      <c r="X5" s="3"/>
      <c r="Y5" s="3"/>
      <c r="Z5" s="3"/>
      <c r="AA5" s="3"/>
    </row>
    <row r="6">
      <c r="A6" s="4" t="s">
        <v>156</v>
      </c>
      <c r="B6" s="39">
        <v>6.0</v>
      </c>
      <c r="C6" s="40">
        <v>254.8</v>
      </c>
      <c r="D6" s="40">
        <v>0.05</v>
      </c>
      <c r="E6" s="41">
        <v>241.1</v>
      </c>
      <c r="F6" s="41">
        <v>242.35999999999999</v>
      </c>
      <c r="G6" s="32">
        <v>254.8</v>
      </c>
      <c r="H6" s="41">
        <v>83228.94</v>
      </c>
      <c r="I6" s="41">
        <v>0.9860691002299083</v>
      </c>
      <c r="J6" s="29">
        <f t="shared" si="1"/>
        <v>-5.376766091</v>
      </c>
      <c r="K6" s="29">
        <f t="shared" si="2"/>
        <v>-4.882260597</v>
      </c>
      <c r="L6" s="29">
        <f t="shared" si="3"/>
        <v>-4.882260597</v>
      </c>
      <c r="N6" s="22"/>
      <c r="P6" s="42"/>
      <c r="Q6" s="2"/>
      <c r="R6" s="12"/>
      <c r="S6" s="15"/>
      <c r="T6" s="15"/>
      <c r="U6" s="15"/>
      <c r="V6" s="2"/>
      <c r="W6" s="2"/>
      <c r="X6" s="2"/>
      <c r="Y6" s="17"/>
      <c r="Z6" s="22"/>
      <c r="AA6" s="22"/>
      <c r="AC6" s="22"/>
    </row>
    <row r="7">
      <c r="A7" s="4" t="s">
        <v>156</v>
      </c>
      <c r="B7" s="39">
        <v>8.0</v>
      </c>
      <c r="C7" s="40">
        <v>302.8</v>
      </c>
      <c r="D7" s="40">
        <v>0.06</v>
      </c>
      <c r="E7" s="41">
        <v>292.5</v>
      </c>
      <c r="F7" s="41">
        <v>293.6</v>
      </c>
      <c r="G7" s="32">
        <v>303.1</v>
      </c>
      <c r="H7" s="41">
        <v>99531.88</v>
      </c>
      <c r="I7" s="41">
        <v>1.1201083228150912</v>
      </c>
      <c r="J7" s="29">
        <f t="shared" si="1"/>
        <v>-3.401585205</v>
      </c>
      <c r="K7" s="29">
        <f t="shared" si="2"/>
        <v>-3.038309115</v>
      </c>
      <c r="L7" s="29">
        <f t="shared" si="3"/>
        <v>-3.134279116</v>
      </c>
      <c r="N7" s="22"/>
      <c r="P7" s="42"/>
      <c r="Q7" s="2"/>
      <c r="R7" s="12"/>
      <c r="S7" s="15"/>
      <c r="T7" s="15"/>
      <c r="U7" s="15"/>
      <c r="V7" s="2"/>
      <c r="W7" s="2"/>
      <c r="X7" s="2"/>
      <c r="Y7" s="22"/>
      <c r="Z7" s="22"/>
      <c r="AA7" s="22"/>
      <c r="AC7" s="22"/>
    </row>
    <row r="8">
      <c r="A8" s="4" t="s">
        <v>156</v>
      </c>
      <c r="B8" s="39">
        <v>10.0</v>
      </c>
      <c r="C8" s="40">
        <v>331.4</v>
      </c>
      <c r="D8" s="40">
        <v>0.07</v>
      </c>
      <c r="E8" s="41">
        <v>323.5</v>
      </c>
      <c r="F8" s="41">
        <v>324.14</v>
      </c>
      <c r="G8" s="32">
        <v>330.1</v>
      </c>
      <c r="H8" s="41">
        <v>115507.16</v>
      </c>
      <c r="I8" s="41">
        <v>0.6519877072175375</v>
      </c>
      <c r="J8" s="29">
        <f t="shared" si="1"/>
        <v>-2.383826192</v>
      </c>
      <c r="K8" s="29">
        <f t="shared" si="2"/>
        <v>-2.190706095</v>
      </c>
      <c r="L8" s="29">
        <f t="shared" si="3"/>
        <v>-1.805513481</v>
      </c>
      <c r="N8" s="22"/>
      <c r="P8" s="42"/>
      <c r="Q8" s="2"/>
      <c r="R8" s="12"/>
      <c r="S8" s="15"/>
      <c r="T8" s="15"/>
      <c r="U8" s="15"/>
      <c r="V8" s="2"/>
      <c r="W8" s="2"/>
      <c r="X8" s="2"/>
      <c r="Y8" s="22"/>
      <c r="Z8" s="22"/>
      <c r="AA8" s="22"/>
      <c r="AC8" s="22"/>
    </row>
    <row r="9">
      <c r="A9" s="4" t="s">
        <v>156</v>
      </c>
      <c r="B9" s="39">
        <v>14.0</v>
      </c>
      <c r="C9" s="40">
        <v>361.7</v>
      </c>
      <c r="D9" s="40">
        <v>0.09</v>
      </c>
      <c r="E9" s="41">
        <v>356.8</v>
      </c>
      <c r="F9" s="41">
        <v>357.34000000000003</v>
      </c>
      <c r="G9" s="32">
        <v>361.4</v>
      </c>
      <c r="H9" s="41">
        <v>145523.14</v>
      </c>
      <c r="I9" s="41">
        <v>0.5033556026701793</v>
      </c>
      <c r="J9" s="29">
        <f t="shared" si="1"/>
        <v>-1.354713851</v>
      </c>
      <c r="K9" s="29">
        <f t="shared" si="2"/>
        <v>-1.205418855</v>
      </c>
      <c r="L9" s="29">
        <f t="shared" si="3"/>
        <v>-1.123408965</v>
      </c>
      <c r="N9" s="22"/>
      <c r="P9" s="42"/>
      <c r="Q9" s="2"/>
      <c r="R9" s="12"/>
      <c r="S9" s="15"/>
      <c r="T9" s="15"/>
      <c r="U9" s="15"/>
      <c r="V9" s="2"/>
      <c r="W9" s="2"/>
      <c r="X9" s="2"/>
      <c r="Y9" s="22"/>
      <c r="Z9" s="22"/>
      <c r="AA9" s="22"/>
      <c r="AC9" s="22"/>
    </row>
    <row r="10">
      <c r="A10" s="4" t="s">
        <v>156</v>
      </c>
      <c r="B10" s="39">
        <v>18.0</v>
      </c>
      <c r="C10" s="40">
        <v>375.6</v>
      </c>
      <c r="D10" s="40">
        <v>0.1</v>
      </c>
      <c r="E10" s="41">
        <v>372.7</v>
      </c>
      <c r="F10" s="41">
        <v>373.22</v>
      </c>
      <c r="G10" s="32">
        <v>376.3</v>
      </c>
      <c r="H10" s="41">
        <v>171216.94</v>
      </c>
      <c r="I10" s="41">
        <v>0.5322493495730702</v>
      </c>
      <c r="J10" s="29">
        <f t="shared" si="1"/>
        <v>-0.7720979766</v>
      </c>
      <c r="K10" s="29">
        <f t="shared" si="2"/>
        <v>-0.6336528222</v>
      </c>
      <c r="L10" s="29">
        <f t="shared" si="3"/>
        <v>-0.8184958809</v>
      </c>
      <c r="N10" s="22"/>
      <c r="P10" s="42"/>
      <c r="Q10" s="2"/>
      <c r="R10" s="12"/>
      <c r="S10" s="15"/>
      <c r="T10" s="15"/>
      <c r="U10" s="15"/>
      <c r="V10" s="2"/>
      <c r="W10" s="2"/>
      <c r="X10" s="2"/>
      <c r="Y10" s="22"/>
      <c r="Z10" s="22"/>
      <c r="AA10" s="22"/>
      <c r="AC10" s="22"/>
    </row>
    <row r="11">
      <c r="A11" s="4" t="s">
        <v>156</v>
      </c>
      <c r="B11" s="39">
        <v>20.0</v>
      </c>
      <c r="C11" s="40">
        <v>380.4</v>
      </c>
      <c r="D11" s="40">
        <v>0.1</v>
      </c>
      <c r="E11" s="41">
        <v>377.9</v>
      </c>
      <c r="F11" s="41">
        <v>378.46</v>
      </c>
      <c r="G11" s="32">
        <v>380.3</v>
      </c>
      <c r="H11" s="41">
        <v>185521.58</v>
      </c>
      <c r="I11" s="41">
        <v>0.562512847895666</v>
      </c>
      <c r="J11" s="29">
        <f t="shared" si="1"/>
        <v>-0.6572029443</v>
      </c>
      <c r="K11" s="29">
        <f t="shared" si="2"/>
        <v>-0.5099894848</v>
      </c>
      <c r="L11" s="29">
        <f t="shared" si="3"/>
        <v>-0.4838285564</v>
      </c>
      <c r="N11" s="22"/>
      <c r="P11" s="42"/>
      <c r="Q11" s="2"/>
      <c r="R11" s="12"/>
      <c r="S11" s="15"/>
      <c r="T11" s="15"/>
      <c r="U11" s="15"/>
      <c r="V11" s="2"/>
      <c r="W11" s="2"/>
      <c r="X11" s="2"/>
      <c r="Y11" s="22"/>
      <c r="Z11" s="22"/>
      <c r="AA11" s="22"/>
      <c r="AC11" s="22"/>
    </row>
    <row r="12">
      <c r="A12" s="4" t="s">
        <v>156</v>
      </c>
      <c r="B12" s="39">
        <v>24.0</v>
      </c>
      <c r="C12" s="40">
        <v>386.7</v>
      </c>
      <c r="D12" s="40">
        <v>0.11</v>
      </c>
      <c r="E12" s="41">
        <v>384.7</v>
      </c>
      <c r="F12" s="41">
        <v>385.12</v>
      </c>
      <c r="G12" s="32">
        <v>386.7</v>
      </c>
      <c r="H12" s="41">
        <v>216057.54</v>
      </c>
      <c r="I12" s="41">
        <v>0.40676641570389893</v>
      </c>
      <c r="J12" s="29">
        <f t="shared" si="1"/>
        <v>-0.5171967934</v>
      </c>
      <c r="K12" s="29">
        <f t="shared" si="2"/>
        <v>-0.4085854668</v>
      </c>
      <c r="L12" s="29">
        <f t="shared" si="3"/>
        <v>-0.4085854668</v>
      </c>
      <c r="N12" s="22"/>
      <c r="P12" s="42"/>
      <c r="Q12" s="2"/>
      <c r="R12" s="12"/>
      <c r="S12" s="15"/>
      <c r="T12" s="15"/>
      <c r="U12" s="15"/>
      <c r="V12" s="2"/>
      <c r="W12" s="2"/>
      <c r="X12" s="2"/>
      <c r="Y12" s="22"/>
      <c r="Z12" s="22"/>
      <c r="AA12" s="22"/>
      <c r="AC12" s="22"/>
    </row>
    <row r="13">
      <c r="A13" s="4" t="s">
        <v>156</v>
      </c>
      <c r="B13" s="39">
        <v>28.0</v>
      </c>
      <c r="C13" s="40">
        <v>390.1</v>
      </c>
      <c r="D13" s="40">
        <v>0.13</v>
      </c>
      <c r="E13" s="41">
        <v>389.0</v>
      </c>
      <c r="F13" s="41">
        <v>389.3</v>
      </c>
      <c r="G13" s="32">
        <v>390.2</v>
      </c>
      <c r="H13" s="41">
        <v>241094.66</v>
      </c>
      <c r="I13" s="41">
        <v>0.343202205451533</v>
      </c>
      <c r="J13" s="29">
        <f t="shared" si="1"/>
        <v>-0.2819789797</v>
      </c>
      <c r="K13" s="29">
        <f t="shared" si="2"/>
        <v>-0.2050756216</v>
      </c>
      <c r="L13" s="29">
        <f t="shared" si="3"/>
        <v>-0.2306509482</v>
      </c>
      <c r="N13" s="22"/>
      <c r="P13" s="42"/>
      <c r="Q13" s="2"/>
      <c r="R13" s="12"/>
      <c r="S13" s="15"/>
      <c r="T13" s="15"/>
      <c r="U13" s="15"/>
      <c r="V13" s="2"/>
      <c r="W13" s="2"/>
      <c r="X13" s="2"/>
      <c r="Y13" s="22"/>
      <c r="Z13" s="22"/>
      <c r="AA13" s="22"/>
      <c r="AC13" s="22"/>
    </row>
    <row r="14">
      <c r="A14" s="4" t="s">
        <v>156</v>
      </c>
      <c r="B14" s="39">
        <v>30.0</v>
      </c>
      <c r="C14" s="40">
        <v>391.7</v>
      </c>
      <c r="D14" s="40">
        <v>0.14</v>
      </c>
      <c r="E14" s="41">
        <v>390.5</v>
      </c>
      <c r="F14" s="41">
        <v>390.86</v>
      </c>
      <c r="G14" s="32">
        <v>391.6</v>
      </c>
      <c r="H14" s="41">
        <v>256989.13999999998</v>
      </c>
      <c r="I14" s="41">
        <v>0.343202205451533</v>
      </c>
      <c r="J14" s="29">
        <f t="shared" si="1"/>
        <v>-0.3063569058</v>
      </c>
      <c r="K14" s="29">
        <f t="shared" si="2"/>
        <v>-0.2144498341</v>
      </c>
      <c r="L14" s="29">
        <f t="shared" si="3"/>
        <v>-0.188968335</v>
      </c>
      <c r="N14" s="22"/>
      <c r="P14" s="42"/>
      <c r="Q14" s="2"/>
      <c r="R14" s="12"/>
      <c r="S14" s="15"/>
      <c r="T14" s="15"/>
      <c r="U14" s="15"/>
      <c r="V14" s="2"/>
      <c r="W14" s="2"/>
      <c r="X14" s="2"/>
      <c r="Y14" s="22"/>
      <c r="Z14" s="22"/>
      <c r="AA14" s="22"/>
      <c r="AC14" s="22"/>
    </row>
    <row r="15">
      <c r="A15" s="4" t="s">
        <v>156</v>
      </c>
      <c r="B15" s="39">
        <v>34.0</v>
      </c>
      <c r="C15" s="40">
        <v>393.9</v>
      </c>
      <c r="D15" s="40">
        <v>0.16</v>
      </c>
      <c r="E15" s="41">
        <v>393.1</v>
      </c>
      <c r="F15" s="41">
        <v>393.2</v>
      </c>
      <c r="G15" s="32">
        <v>393.8</v>
      </c>
      <c r="H15" s="41">
        <v>281280.82</v>
      </c>
      <c r="I15" s="41">
        <v>0.18893633440050397</v>
      </c>
      <c r="J15" s="29">
        <f t="shared" si="1"/>
        <v>-0.2030972328</v>
      </c>
      <c r="K15" s="29">
        <f t="shared" si="2"/>
        <v>-0.1777100787</v>
      </c>
      <c r="L15" s="29">
        <f t="shared" si="3"/>
        <v>-0.1523616049</v>
      </c>
      <c r="N15" s="22"/>
      <c r="P15" s="42"/>
      <c r="Q15" s="2"/>
      <c r="R15" s="12"/>
      <c r="S15" s="15"/>
      <c r="T15" s="15"/>
      <c r="U15" s="15"/>
      <c r="V15" s="2"/>
      <c r="W15" s="2"/>
      <c r="X15" s="2"/>
      <c r="Y15" s="22"/>
      <c r="Z15" s="22"/>
      <c r="AA15" s="22"/>
      <c r="AC15" s="22"/>
    </row>
    <row r="16">
      <c r="A16" s="4" t="s">
        <v>157</v>
      </c>
      <c r="B16" s="39">
        <v>2.0</v>
      </c>
      <c r="C16" s="40">
        <v>125.4</v>
      </c>
      <c r="D16" s="40">
        <v>0.05</v>
      </c>
      <c r="E16" s="41">
        <v>106.1</v>
      </c>
      <c r="F16" s="41">
        <v>106.8</v>
      </c>
      <c r="G16" s="32">
        <v>145.8</v>
      </c>
      <c r="H16" s="41">
        <v>85442.56</v>
      </c>
      <c r="I16" s="41">
        <v>0.6525825014766025</v>
      </c>
      <c r="J16" s="29">
        <f t="shared" si="1"/>
        <v>-15.3907496</v>
      </c>
      <c r="K16" s="29">
        <f t="shared" si="2"/>
        <v>-14.83253589</v>
      </c>
      <c r="L16" s="29">
        <f t="shared" si="3"/>
        <v>-26.74897119</v>
      </c>
      <c r="N16" s="22"/>
      <c r="P16" s="42"/>
      <c r="Q16" s="2"/>
      <c r="R16" s="12"/>
      <c r="S16" s="15"/>
      <c r="T16" s="15"/>
      <c r="U16" s="15"/>
      <c r="V16" s="2"/>
      <c r="W16" s="2"/>
      <c r="X16" s="2"/>
      <c r="Y16" s="22"/>
      <c r="Z16" s="22"/>
      <c r="AA16" s="22"/>
      <c r="AC16" s="22"/>
    </row>
    <row r="17">
      <c r="A17" s="4" t="s">
        <v>157</v>
      </c>
      <c r="B17" s="39">
        <v>4.0</v>
      </c>
      <c r="C17" s="40">
        <v>266.4</v>
      </c>
      <c r="D17" s="40">
        <v>0.09</v>
      </c>
      <c r="E17" s="41">
        <v>242.7</v>
      </c>
      <c r="F17" s="41">
        <v>244.0</v>
      </c>
      <c r="G17" s="32">
        <v>270.3</v>
      </c>
      <c r="H17" s="41">
        <v>107049.86</v>
      </c>
      <c r="I17" s="41">
        <v>1.1605797499091859</v>
      </c>
      <c r="J17" s="29">
        <f t="shared" si="1"/>
        <v>-8.896396396</v>
      </c>
      <c r="K17" s="29">
        <f t="shared" si="2"/>
        <v>-8.408408408</v>
      </c>
      <c r="L17" s="29">
        <f t="shared" si="3"/>
        <v>-9.729929708</v>
      </c>
      <c r="N17" s="22"/>
      <c r="P17" s="42"/>
      <c r="Q17" s="2"/>
      <c r="R17" s="12"/>
      <c r="S17" s="15"/>
      <c r="T17" s="15"/>
      <c r="U17" s="15"/>
      <c r="V17" s="2"/>
      <c r="W17" s="2"/>
      <c r="X17" s="2"/>
      <c r="Y17" s="22"/>
      <c r="Z17" s="22"/>
      <c r="AA17" s="22"/>
      <c r="AC17" s="22"/>
    </row>
    <row r="18">
      <c r="A18" s="4" t="s">
        <v>157</v>
      </c>
      <c r="B18" s="39">
        <v>6.0</v>
      </c>
      <c r="C18" s="40">
        <v>379.2</v>
      </c>
      <c r="D18" s="40">
        <v>0.12</v>
      </c>
      <c r="E18" s="41">
        <v>361.5</v>
      </c>
      <c r="F18" s="41">
        <v>363.26</v>
      </c>
      <c r="G18" s="32">
        <v>382.4</v>
      </c>
      <c r="H18" s="41">
        <v>129933.6</v>
      </c>
      <c r="I18" s="41">
        <v>1.541572046887286</v>
      </c>
      <c r="J18" s="29">
        <f t="shared" si="1"/>
        <v>-4.667721519</v>
      </c>
      <c r="K18" s="29">
        <f t="shared" si="2"/>
        <v>-4.203586498</v>
      </c>
      <c r="L18" s="29">
        <f t="shared" si="3"/>
        <v>-5.005230126</v>
      </c>
      <c r="N18" s="22"/>
      <c r="P18" s="42"/>
      <c r="Q18" s="2"/>
      <c r="R18" s="12"/>
      <c r="S18" s="15"/>
      <c r="T18" s="15"/>
      <c r="U18" s="15"/>
      <c r="V18" s="2"/>
      <c r="W18" s="2"/>
      <c r="X18" s="2"/>
      <c r="Y18" s="22"/>
      <c r="Z18" s="22"/>
      <c r="AA18" s="22"/>
      <c r="AC18" s="22"/>
    </row>
    <row r="19">
      <c r="A19" s="4" t="s">
        <v>157</v>
      </c>
      <c r="B19" s="39">
        <v>8.0</v>
      </c>
      <c r="C19" s="40">
        <v>452.6</v>
      </c>
      <c r="D19" s="40">
        <v>0.14</v>
      </c>
      <c r="E19" s="41">
        <v>437.6</v>
      </c>
      <c r="F19" s="41">
        <v>439.24</v>
      </c>
      <c r="G19" s="32">
        <v>453.0</v>
      </c>
      <c r="H19" s="41">
        <v>154426.66</v>
      </c>
      <c r="I19" s="41">
        <v>1.290159411513986</v>
      </c>
      <c r="J19" s="29">
        <f t="shared" si="1"/>
        <v>-3.314184711</v>
      </c>
      <c r="K19" s="29">
        <f t="shared" si="2"/>
        <v>-2.951833849</v>
      </c>
      <c r="L19" s="29">
        <f t="shared" si="3"/>
        <v>-3.037527594</v>
      </c>
      <c r="N19" s="22"/>
      <c r="P19" s="42"/>
      <c r="Q19" s="2"/>
      <c r="R19" s="12"/>
      <c r="S19" s="15"/>
      <c r="T19" s="15"/>
      <c r="U19" s="15"/>
      <c r="V19" s="2"/>
      <c r="W19" s="2"/>
      <c r="X19" s="2"/>
      <c r="Y19" s="22"/>
      <c r="Z19" s="22"/>
      <c r="AA19" s="22"/>
      <c r="AC19" s="22"/>
    </row>
    <row r="20">
      <c r="A20" s="4" t="s">
        <v>157</v>
      </c>
      <c r="B20" s="39">
        <v>10.0</v>
      </c>
      <c r="C20" s="40">
        <v>494.5</v>
      </c>
      <c r="D20" s="40">
        <v>0.15</v>
      </c>
      <c r="E20" s="41">
        <v>484.4</v>
      </c>
      <c r="F20" s="41">
        <v>485.98</v>
      </c>
      <c r="G20" s="32">
        <v>494.6</v>
      </c>
      <c r="H20" s="41">
        <v>174931.63999999998</v>
      </c>
      <c r="I20" s="41">
        <v>1.2596952356686557</v>
      </c>
      <c r="J20" s="29">
        <f t="shared" si="1"/>
        <v>-2.042467139</v>
      </c>
      <c r="K20" s="29">
        <f t="shared" si="2"/>
        <v>-1.722952477</v>
      </c>
      <c r="L20" s="29">
        <f t="shared" si="3"/>
        <v>-1.742822483</v>
      </c>
      <c r="N20" s="22"/>
      <c r="P20" s="42"/>
      <c r="Q20" s="2"/>
      <c r="R20" s="12"/>
      <c r="S20" s="15"/>
      <c r="T20" s="15"/>
      <c r="U20" s="15"/>
      <c r="V20" s="2"/>
      <c r="W20" s="2"/>
      <c r="X20" s="2"/>
      <c r="Y20" s="22"/>
      <c r="Z20" s="22"/>
      <c r="AA20" s="22"/>
      <c r="AC20" s="22"/>
    </row>
    <row r="21">
      <c r="A21" s="4" t="s">
        <v>157</v>
      </c>
      <c r="B21" s="39">
        <v>14.0</v>
      </c>
      <c r="C21" s="40">
        <v>540.1</v>
      </c>
      <c r="D21" s="40">
        <v>0.17</v>
      </c>
      <c r="E21" s="41">
        <v>532.9</v>
      </c>
      <c r="F21" s="41">
        <v>533.88</v>
      </c>
      <c r="G21" s="32">
        <v>538.6</v>
      </c>
      <c r="H21" s="41">
        <v>221629.7</v>
      </c>
      <c r="I21" s="41">
        <v>0.9806693184016981</v>
      </c>
      <c r="J21" s="29">
        <f t="shared" si="1"/>
        <v>-1.333086465</v>
      </c>
      <c r="K21" s="29">
        <f t="shared" si="2"/>
        <v>-1.151638585</v>
      </c>
      <c r="L21" s="29">
        <f t="shared" si="3"/>
        <v>-0.8763460824</v>
      </c>
      <c r="N21" s="22"/>
      <c r="P21" s="42"/>
      <c r="Q21" s="2"/>
      <c r="R21" s="12"/>
      <c r="S21" s="15"/>
      <c r="T21" s="15"/>
      <c r="U21" s="15"/>
      <c r="V21" s="2"/>
      <c r="W21" s="2"/>
      <c r="X21" s="2"/>
      <c r="Y21" s="22"/>
      <c r="Z21" s="22"/>
      <c r="AA21" s="22"/>
      <c r="AC21" s="22"/>
    </row>
    <row r="22">
      <c r="A22" s="4" t="s">
        <v>157</v>
      </c>
      <c r="B22" s="39">
        <v>18.0</v>
      </c>
      <c r="C22" s="40">
        <v>562.0</v>
      </c>
      <c r="D22" s="40">
        <v>0.19</v>
      </c>
      <c r="E22" s="41">
        <v>557.8</v>
      </c>
      <c r="F22" s="41">
        <v>558.62</v>
      </c>
      <c r="G22" s="32">
        <v>562.1</v>
      </c>
      <c r="H22" s="41">
        <v>264647.86</v>
      </c>
      <c r="I22" s="41">
        <v>0.680937355432459</v>
      </c>
      <c r="J22" s="29">
        <f t="shared" si="1"/>
        <v>-0.7473309609</v>
      </c>
      <c r="K22" s="29">
        <f t="shared" si="2"/>
        <v>-0.6014234875</v>
      </c>
      <c r="L22" s="29">
        <f t="shared" si="3"/>
        <v>-0.6191069205</v>
      </c>
      <c r="N22" s="22"/>
      <c r="P22" s="42"/>
      <c r="Q22" s="2"/>
      <c r="R22" s="12"/>
      <c r="S22" s="15"/>
      <c r="T22" s="15"/>
      <c r="U22" s="15"/>
      <c r="V22" s="2"/>
      <c r="W22" s="2"/>
      <c r="X22" s="2"/>
      <c r="Y22" s="22"/>
      <c r="Z22" s="22"/>
      <c r="AA22" s="22"/>
      <c r="AC22" s="22"/>
    </row>
    <row r="23">
      <c r="A23" s="4" t="s">
        <v>157</v>
      </c>
      <c r="B23" s="39">
        <v>20.0</v>
      </c>
      <c r="C23" s="40">
        <v>569.9</v>
      </c>
      <c r="D23" s="40">
        <v>0.2</v>
      </c>
      <c r="E23" s="41">
        <v>565.8</v>
      </c>
      <c r="F23" s="41">
        <v>566.7</v>
      </c>
      <c r="G23" s="32">
        <v>569.4</v>
      </c>
      <c r="H23" s="41">
        <v>285609.28</v>
      </c>
      <c r="I23" s="41">
        <v>0.7491590849257308</v>
      </c>
      <c r="J23" s="29">
        <f t="shared" si="1"/>
        <v>-0.7194244604</v>
      </c>
      <c r="K23" s="29">
        <f t="shared" si="2"/>
        <v>-0.5615020179</v>
      </c>
      <c r="L23" s="29">
        <f t="shared" si="3"/>
        <v>-0.4741833509</v>
      </c>
      <c r="N23" s="22"/>
      <c r="P23" s="42"/>
      <c r="Q23" s="2"/>
      <c r="R23" s="12"/>
      <c r="S23" s="15"/>
      <c r="T23" s="15"/>
      <c r="U23" s="15"/>
      <c r="V23" s="2"/>
      <c r="W23" s="2"/>
      <c r="X23" s="2"/>
      <c r="Y23" s="22"/>
      <c r="Z23" s="22"/>
      <c r="AA23" s="22"/>
      <c r="AC23" s="22"/>
    </row>
    <row r="24">
      <c r="A24" s="4" t="s">
        <v>157</v>
      </c>
      <c r="B24" s="39">
        <v>24.0</v>
      </c>
      <c r="C24" s="40">
        <v>577.3</v>
      </c>
      <c r="D24" s="40">
        <v>0.23</v>
      </c>
      <c r="E24" s="41">
        <v>576.0</v>
      </c>
      <c r="F24" s="41">
        <v>576.84</v>
      </c>
      <c r="G24" s="32">
        <v>577.3</v>
      </c>
      <c r="H24" s="41">
        <v>325772.24</v>
      </c>
      <c r="I24" s="41">
        <v>0.6607908192923855</v>
      </c>
      <c r="J24" s="29">
        <f t="shared" si="1"/>
        <v>-0.2251862117</v>
      </c>
      <c r="K24" s="29">
        <f t="shared" si="2"/>
        <v>-0.0796812749</v>
      </c>
      <c r="L24" s="29">
        <f t="shared" si="3"/>
        <v>-0.0796812749</v>
      </c>
      <c r="N24" s="22"/>
      <c r="P24" s="42"/>
      <c r="Q24" s="2"/>
      <c r="R24" s="12"/>
      <c r="S24" s="15"/>
      <c r="T24" s="15"/>
      <c r="U24" s="15"/>
      <c r="V24" s="2"/>
      <c r="W24" s="2"/>
      <c r="X24" s="2"/>
      <c r="Y24" s="22"/>
      <c r="Z24" s="22"/>
      <c r="AA24" s="22"/>
      <c r="AC24" s="22"/>
    </row>
    <row r="25">
      <c r="A25" s="4" t="s">
        <v>157</v>
      </c>
      <c r="B25" s="39">
        <v>28.0</v>
      </c>
      <c r="C25" s="40">
        <v>584.2</v>
      </c>
      <c r="D25" s="40">
        <v>0.26</v>
      </c>
      <c r="E25" s="41">
        <v>582.8</v>
      </c>
      <c r="F25" s="41">
        <v>583.3</v>
      </c>
      <c r="G25" s="32">
        <v>584.8</v>
      </c>
      <c r="H25" s="41">
        <v>372304.32</v>
      </c>
      <c r="I25" s="41">
        <v>0.4686851393207044</v>
      </c>
      <c r="J25" s="29">
        <f t="shared" si="1"/>
        <v>-0.2396439575</v>
      </c>
      <c r="K25" s="29">
        <f t="shared" si="2"/>
        <v>-0.1540568299</v>
      </c>
      <c r="L25" s="29">
        <f t="shared" si="3"/>
        <v>-0.256497948</v>
      </c>
      <c r="N25" s="22"/>
      <c r="P25" s="42"/>
      <c r="Q25" s="2"/>
      <c r="R25" s="12"/>
      <c r="S25" s="15"/>
      <c r="T25" s="15"/>
      <c r="U25" s="15"/>
      <c r="V25" s="2"/>
      <c r="W25" s="2"/>
      <c r="X25" s="2"/>
      <c r="Y25" s="22"/>
      <c r="Z25" s="22"/>
      <c r="AA25" s="22"/>
      <c r="AC25" s="22"/>
    </row>
    <row r="26">
      <c r="A26" s="4" t="s">
        <v>157</v>
      </c>
      <c r="B26" s="39">
        <v>30.0</v>
      </c>
      <c r="C26" s="40">
        <v>586.6</v>
      </c>
      <c r="D26" s="40">
        <v>0.27</v>
      </c>
      <c r="E26" s="41">
        <v>585.0</v>
      </c>
      <c r="F26" s="41">
        <v>585.48</v>
      </c>
      <c r="G26" s="32">
        <v>586.1</v>
      </c>
      <c r="H26" s="41">
        <v>390781.76</v>
      </c>
      <c r="I26" s="41">
        <v>0.5033556026701793</v>
      </c>
      <c r="J26" s="29">
        <f t="shared" si="1"/>
        <v>-0.272758268</v>
      </c>
      <c r="K26" s="29">
        <f t="shared" si="2"/>
        <v>-0.1909307876</v>
      </c>
      <c r="L26" s="29">
        <f t="shared" si="3"/>
        <v>-0.1057839959</v>
      </c>
      <c r="N26" s="22"/>
      <c r="P26" s="42"/>
      <c r="Q26" s="2"/>
      <c r="R26" s="12"/>
      <c r="S26" s="15"/>
      <c r="T26" s="15"/>
      <c r="U26" s="15"/>
      <c r="V26" s="2"/>
      <c r="W26" s="2"/>
      <c r="X26" s="2"/>
      <c r="Y26" s="22"/>
      <c r="Z26" s="22"/>
      <c r="AA26" s="22"/>
      <c r="AC26" s="22"/>
    </row>
    <row r="27">
      <c r="A27" s="4" t="s">
        <v>157</v>
      </c>
      <c r="B27" s="39">
        <v>34.0</v>
      </c>
      <c r="C27" s="40">
        <v>590.0</v>
      </c>
      <c r="D27" s="40">
        <v>0.3</v>
      </c>
      <c r="E27" s="41">
        <v>588.6</v>
      </c>
      <c r="F27" s="41">
        <v>589.02</v>
      </c>
      <c r="G27" s="32">
        <v>590.3</v>
      </c>
      <c r="H27" s="41">
        <v>432449.56</v>
      </c>
      <c r="I27" s="41">
        <v>0.34908973161915036</v>
      </c>
      <c r="J27" s="29">
        <f t="shared" si="1"/>
        <v>-0.2372881356</v>
      </c>
      <c r="K27" s="29">
        <f t="shared" si="2"/>
        <v>-0.1661016949</v>
      </c>
      <c r="L27" s="29">
        <f t="shared" si="3"/>
        <v>-0.2168388955</v>
      </c>
      <c r="N27" s="22"/>
      <c r="P27" s="42"/>
      <c r="Q27" s="2"/>
      <c r="R27" s="12"/>
      <c r="S27" s="15"/>
      <c r="T27" s="15"/>
      <c r="U27" s="15"/>
      <c r="V27" s="2"/>
      <c r="W27" s="2"/>
      <c r="X27" s="2"/>
      <c r="Y27" s="22"/>
      <c r="Z27" s="22"/>
      <c r="AA27" s="22"/>
      <c r="AC27" s="22"/>
    </row>
    <row r="28">
      <c r="A28" s="4" t="s">
        <v>157</v>
      </c>
      <c r="B28" s="39">
        <v>38.0</v>
      </c>
      <c r="C28" s="40">
        <v>591.6</v>
      </c>
      <c r="D28" s="40">
        <v>0.34</v>
      </c>
      <c r="E28" s="41">
        <v>591.0</v>
      </c>
      <c r="F28" s="41">
        <v>591.38</v>
      </c>
      <c r="G28" s="32">
        <v>591.8</v>
      </c>
      <c r="H28" s="41">
        <v>469500.78</v>
      </c>
      <c r="I28" s="41">
        <v>0.4527467169525662</v>
      </c>
      <c r="J28" s="29">
        <f t="shared" si="1"/>
        <v>-0.1014198783</v>
      </c>
      <c r="K28" s="29">
        <f t="shared" si="2"/>
        <v>-0.03718728871</v>
      </c>
      <c r="L28" s="29">
        <f t="shared" si="3"/>
        <v>-0.07096992227</v>
      </c>
      <c r="N28" s="22"/>
      <c r="P28" s="42"/>
      <c r="Q28" s="2"/>
      <c r="R28" s="12"/>
      <c r="S28" s="15"/>
      <c r="T28" s="15"/>
      <c r="U28" s="15"/>
      <c r="V28" s="2"/>
      <c r="W28" s="2"/>
      <c r="X28" s="2"/>
      <c r="Y28" s="22"/>
      <c r="Z28" s="22"/>
      <c r="AA28" s="22"/>
      <c r="AC28" s="22"/>
    </row>
    <row r="29">
      <c r="A29" s="4" t="s">
        <v>157</v>
      </c>
      <c r="B29" s="39">
        <v>40.0</v>
      </c>
      <c r="C29" s="40">
        <v>592.9</v>
      </c>
      <c r="D29" s="40">
        <v>0.36</v>
      </c>
      <c r="E29" s="41">
        <v>592.0</v>
      </c>
      <c r="F29" s="41">
        <v>592.34</v>
      </c>
      <c r="G29" s="32">
        <v>592.7</v>
      </c>
      <c r="H29" s="41">
        <v>493602.44</v>
      </c>
      <c r="I29" s="41">
        <v>0.4080253574025704</v>
      </c>
      <c r="J29" s="29">
        <f t="shared" si="1"/>
        <v>-0.1517962557</v>
      </c>
      <c r="K29" s="29">
        <f t="shared" si="2"/>
        <v>-0.09445100354</v>
      </c>
      <c r="L29" s="29">
        <f t="shared" si="3"/>
        <v>-0.06073899106</v>
      </c>
      <c r="N29" s="22"/>
      <c r="P29" s="42"/>
      <c r="Q29" s="2"/>
      <c r="R29" s="12"/>
      <c r="S29" s="15"/>
      <c r="T29" s="15"/>
      <c r="U29" s="15"/>
      <c r="V29" s="2"/>
      <c r="W29" s="2"/>
      <c r="X29" s="2"/>
      <c r="Y29" s="22"/>
      <c r="Z29" s="22"/>
      <c r="AA29" s="22"/>
      <c r="AC29" s="22"/>
    </row>
    <row r="30">
      <c r="A30" s="4" t="s">
        <v>158</v>
      </c>
      <c r="B30" s="39">
        <v>2.0</v>
      </c>
      <c r="C30" s="40">
        <v>161.5</v>
      </c>
      <c r="D30" s="40">
        <v>0.09</v>
      </c>
      <c r="E30" s="41">
        <v>136.4</v>
      </c>
      <c r="F30" s="41">
        <v>137.92</v>
      </c>
      <c r="G30" s="32">
        <v>190.4</v>
      </c>
      <c r="H30" s="41">
        <v>116465.34</v>
      </c>
      <c r="I30" s="41">
        <v>1.2670370796052273</v>
      </c>
      <c r="J30" s="29">
        <f t="shared" si="1"/>
        <v>-15.54179567</v>
      </c>
      <c r="K30" s="29">
        <f t="shared" si="2"/>
        <v>-14.6006192</v>
      </c>
      <c r="L30" s="29">
        <f t="shared" si="3"/>
        <v>-27.56302521</v>
      </c>
      <c r="N30" s="22"/>
      <c r="P30" s="42"/>
      <c r="Q30" s="2"/>
      <c r="R30" s="12"/>
      <c r="S30" s="15"/>
      <c r="T30" s="15"/>
      <c r="U30" s="15"/>
      <c r="V30" s="2"/>
      <c r="W30" s="2"/>
      <c r="X30" s="2"/>
      <c r="Y30" s="22"/>
      <c r="Z30" s="22"/>
      <c r="AA30" s="22"/>
      <c r="AC30" s="22"/>
    </row>
    <row r="31">
      <c r="A31" s="4" t="s">
        <v>158</v>
      </c>
      <c r="B31" s="39">
        <v>4.0</v>
      </c>
      <c r="C31" s="40">
        <v>354.7</v>
      </c>
      <c r="D31" s="40">
        <v>0.15</v>
      </c>
      <c r="E31" s="41">
        <v>322.3</v>
      </c>
      <c r="F31" s="41">
        <v>324.04</v>
      </c>
      <c r="G31" s="32">
        <v>364.0</v>
      </c>
      <c r="H31" s="41">
        <v>146937.88</v>
      </c>
      <c r="I31" s="41">
        <v>1.5860526001556</v>
      </c>
      <c r="J31" s="29">
        <f t="shared" si="1"/>
        <v>-9.134479842</v>
      </c>
      <c r="K31" s="29">
        <f t="shared" si="2"/>
        <v>-8.643924443</v>
      </c>
      <c r="L31" s="29">
        <f t="shared" si="3"/>
        <v>-10.97802198</v>
      </c>
      <c r="N31" s="22"/>
      <c r="P31" s="42"/>
      <c r="Q31" s="2"/>
      <c r="R31" s="12"/>
      <c r="S31" s="15"/>
      <c r="T31" s="15"/>
      <c r="U31" s="15"/>
      <c r="V31" s="2"/>
      <c r="W31" s="2"/>
      <c r="X31" s="2"/>
      <c r="Y31" s="22"/>
      <c r="Z31" s="22"/>
      <c r="AA31" s="22"/>
      <c r="AC31" s="22"/>
    </row>
    <row r="32">
      <c r="A32" s="4" t="s">
        <v>158</v>
      </c>
      <c r="B32" s="39">
        <v>6.0</v>
      </c>
      <c r="C32" s="40">
        <v>504.2</v>
      </c>
      <c r="D32" s="40">
        <v>0.2</v>
      </c>
      <c r="E32" s="41">
        <v>480.3</v>
      </c>
      <c r="F32" s="41">
        <v>482.28</v>
      </c>
      <c r="G32" s="32">
        <v>605.3</v>
      </c>
      <c r="H32" s="41">
        <v>177082.78</v>
      </c>
      <c r="I32" s="41">
        <v>1.680164553213266</v>
      </c>
      <c r="J32" s="29">
        <f t="shared" si="1"/>
        <v>-4.740182467</v>
      </c>
      <c r="K32" s="29">
        <f t="shared" si="2"/>
        <v>-4.347481158</v>
      </c>
      <c r="L32" s="29">
        <f t="shared" si="3"/>
        <v>-20.32380638</v>
      </c>
      <c r="N32" s="22"/>
      <c r="P32" s="42"/>
      <c r="Q32" s="2"/>
      <c r="R32" s="12"/>
      <c r="S32" s="15"/>
      <c r="T32" s="15"/>
      <c r="U32" s="15"/>
      <c r="V32" s="2"/>
      <c r="W32" s="2"/>
      <c r="X32" s="2"/>
      <c r="Y32" s="22"/>
      <c r="Z32" s="22"/>
      <c r="AA32" s="22"/>
      <c r="AC32" s="22"/>
    </row>
    <row r="33">
      <c r="A33" s="4" t="s">
        <v>158</v>
      </c>
      <c r="B33" s="39">
        <v>8.0</v>
      </c>
      <c r="C33" s="40">
        <v>596.6</v>
      </c>
      <c r="D33" s="40">
        <v>0.22</v>
      </c>
      <c r="E33" s="41">
        <v>581.0</v>
      </c>
      <c r="F33" s="41">
        <v>583.26</v>
      </c>
      <c r="G33" s="32">
        <v>599.6</v>
      </c>
      <c r="H33" s="41">
        <v>208207.44</v>
      </c>
      <c r="I33" s="41">
        <v>2.0041082680042366</v>
      </c>
      <c r="J33" s="29">
        <f t="shared" si="1"/>
        <v>-2.614817298</v>
      </c>
      <c r="K33" s="29">
        <f t="shared" si="2"/>
        <v>-2.236004023</v>
      </c>
      <c r="L33" s="29">
        <f t="shared" si="3"/>
        <v>-2.7251501</v>
      </c>
      <c r="N33" s="22"/>
      <c r="P33" s="42"/>
      <c r="Q33" s="2"/>
      <c r="R33" s="12"/>
      <c r="S33" s="15"/>
      <c r="T33" s="15"/>
      <c r="U33" s="15"/>
      <c r="V33" s="2"/>
      <c r="W33" s="2"/>
      <c r="X33" s="2"/>
      <c r="Y33" s="22"/>
      <c r="Z33" s="22"/>
      <c r="AA33" s="22"/>
      <c r="AC33" s="22"/>
    </row>
    <row r="34">
      <c r="A34" s="4" t="s">
        <v>158</v>
      </c>
      <c r="B34" s="39">
        <v>10.0</v>
      </c>
      <c r="C34" s="40">
        <v>658.5</v>
      </c>
      <c r="D34" s="40">
        <v>0.25</v>
      </c>
      <c r="E34" s="41">
        <v>647.1</v>
      </c>
      <c r="F34" s="41">
        <v>648.76</v>
      </c>
      <c r="G34" s="32">
        <v>658.4</v>
      </c>
      <c r="H34" s="41">
        <v>238362.98</v>
      </c>
      <c r="I34" s="41">
        <v>1.386565632168964</v>
      </c>
      <c r="J34" s="29">
        <f t="shared" si="1"/>
        <v>-1.731207289</v>
      </c>
      <c r="K34" s="29">
        <f t="shared" si="2"/>
        <v>-1.47911921</v>
      </c>
      <c r="L34" s="29">
        <f t="shared" si="3"/>
        <v>-1.464155529</v>
      </c>
      <c r="N34" s="22"/>
      <c r="P34" s="42"/>
      <c r="Q34" s="2"/>
      <c r="R34" s="12"/>
      <c r="S34" s="15"/>
      <c r="T34" s="15"/>
      <c r="U34" s="15"/>
      <c r="V34" s="2"/>
      <c r="W34" s="2"/>
      <c r="X34" s="2"/>
      <c r="Y34" s="22"/>
      <c r="Z34" s="22"/>
      <c r="AA34" s="22"/>
      <c r="AC34" s="22"/>
    </row>
    <row r="35">
      <c r="A35" s="4" t="s">
        <v>158</v>
      </c>
      <c r="B35" s="39">
        <v>14.0</v>
      </c>
      <c r="C35" s="40">
        <v>720.5</v>
      </c>
      <c r="D35" s="40">
        <v>0.28</v>
      </c>
      <c r="E35" s="41">
        <v>712.4</v>
      </c>
      <c r="F35" s="41">
        <v>713.9</v>
      </c>
      <c r="G35" s="32">
        <v>720.3</v>
      </c>
      <c r="H35" s="41">
        <v>300519.02</v>
      </c>
      <c r="I35" s="41">
        <v>1.1899074037488444</v>
      </c>
      <c r="J35" s="29">
        <f t="shared" si="1"/>
        <v>-1.124219292</v>
      </c>
      <c r="K35" s="29">
        <f t="shared" si="2"/>
        <v>-0.9160305344</v>
      </c>
      <c r="L35" s="29">
        <f t="shared" si="3"/>
        <v>-0.8885186728</v>
      </c>
      <c r="N35" s="22"/>
      <c r="P35" s="42"/>
      <c r="Q35" s="2"/>
      <c r="R35" s="12"/>
      <c r="S35" s="15"/>
      <c r="T35" s="15"/>
      <c r="U35" s="15"/>
      <c r="V35" s="2"/>
      <c r="W35" s="2"/>
      <c r="X35" s="2"/>
      <c r="Y35" s="22"/>
      <c r="Z35" s="22"/>
      <c r="AA35" s="22"/>
      <c r="AC35" s="22"/>
    </row>
    <row r="36">
      <c r="A36" s="4" t="s">
        <v>158</v>
      </c>
      <c r="B36" s="39">
        <v>18.0</v>
      </c>
      <c r="C36" s="40">
        <v>749.8</v>
      </c>
      <c r="D36" s="40">
        <v>0.32</v>
      </c>
      <c r="E36" s="41">
        <v>744.1</v>
      </c>
      <c r="F36" s="41">
        <v>745.2</v>
      </c>
      <c r="G36" s="32">
        <v>748.7</v>
      </c>
      <c r="H36" s="41">
        <v>357129.26</v>
      </c>
      <c r="I36" s="41">
        <v>0.8851744896324586</v>
      </c>
      <c r="J36" s="29">
        <f t="shared" si="1"/>
        <v>-0.7602027207</v>
      </c>
      <c r="K36" s="29">
        <f t="shared" si="2"/>
        <v>-0.6134969325</v>
      </c>
      <c r="L36" s="29">
        <f t="shared" si="3"/>
        <v>-0.4674769601</v>
      </c>
      <c r="N36" s="22"/>
      <c r="P36" s="42"/>
      <c r="Q36" s="2"/>
      <c r="R36" s="12"/>
      <c r="S36" s="15"/>
      <c r="T36" s="15"/>
      <c r="U36" s="15"/>
      <c r="V36" s="2"/>
      <c r="W36" s="2"/>
      <c r="X36" s="2"/>
      <c r="Y36" s="22"/>
      <c r="Z36" s="22"/>
      <c r="AA36" s="22"/>
      <c r="AC36" s="22"/>
    </row>
    <row r="37">
      <c r="A37" s="4" t="s">
        <v>158</v>
      </c>
      <c r="B37" s="39">
        <v>20.0</v>
      </c>
      <c r="C37" s="40">
        <v>758.4</v>
      </c>
      <c r="D37" s="40">
        <v>0.34</v>
      </c>
      <c r="E37" s="41">
        <v>754.1</v>
      </c>
      <c r="F37" s="41">
        <v>755.34</v>
      </c>
      <c r="G37" s="32">
        <v>757.8</v>
      </c>
      <c r="H37" s="41">
        <v>387165.8</v>
      </c>
      <c r="I37" s="41">
        <v>0.9806381993242975</v>
      </c>
      <c r="J37" s="29">
        <f t="shared" si="1"/>
        <v>-0.5669831224</v>
      </c>
      <c r="K37" s="29">
        <f t="shared" si="2"/>
        <v>-0.4034810127</v>
      </c>
      <c r="L37" s="29">
        <f t="shared" si="3"/>
        <v>-0.3246239113</v>
      </c>
      <c r="N37" s="22"/>
      <c r="P37" s="42"/>
      <c r="Q37" s="2"/>
      <c r="R37" s="12"/>
      <c r="S37" s="15"/>
      <c r="T37" s="15"/>
      <c r="U37" s="15"/>
      <c r="V37" s="2"/>
      <c r="W37" s="2"/>
      <c r="X37" s="2"/>
      <c r="Y37" s="22"/>
      <c r="Z37" s="22"/>
      <c r="AA37" s="22"/>
      <c r="AC37" s="22"/>
    </row>
    <row r="38">
      <c r="A38" s="4" t="s">
        <v>158</v>
      </c>
      <c r="B38" s="39">
        <v>24.0</v>
      </c>
      <c r="C38" s="40">
        <v>770.6</v>
      </c>
      <c r="D38" s="40">
        <v>0.37</v>
      </c>
      <c r="E38" s="41">
        <v>767.8</v>
      </c>
      <c r="F38" s="41">
        <v>768.66</v>
      </c>
      <c r="G38" s="32">
        <v>770.5</v>
      </c>
      <c r="H38" s="41">
        <v>444374.66000000003</v>
      </c>
      <c r="I38" s="41">
        <v>0.8429546532788126</v>
      </c>
      <c r="J38" s="29">
        <f t="shared" si="1"/>
        <v>-0.3633532312</v>
      </c>
      <c r="K38" s="29">
        <f t="shared" si="2"/>
        <v>-0.2517518817</v>
      </c>
      <c r="L38" s="29">
        <f t="shared" si="3"/>
        <v>-0.2388059701</v>
      </c>
      <c r="N38" s="22"/>
      <c r="P38" s="42"/>
      <c r="Q38" s="2"/>
      <c r="R38" s="12"/>
      <c r="S38" s="15"/>
      <c r="T38" s="15"/>
      <c r="U38" s="15"/>
      <c r="V38" s="2"/>
      <c r="W38" s="2"/>
      <c r="X38" s="2"/>
      <c r="Y38" s="22"/>
      <c r="Z38" s="22"/>
      <c r="AA38" s="22"/>
      <c r="AC38" s="22"/>
    </row>
    <row r="39">
      <c r="A39" s="4" t="s">
        <v>158</v>
      </c>
      <c r="B39" s="39">
        <v>28.0</v>
      </c>
      <c r="C39" s="40">
        <v>778.0</v>
      </c>
      <c r="D39" s="40">
        <v>0.42</v>
      </c>
      <c r="E39" s="41">
        <v>776.9</v>
      </c>
      <c r="F39" s="41">
        <v>777.6</v>
      </c>
      <c r="G39" s="32">
        <v>778.4</v>
      </c>
      <c r="H39" s="41">
        <v>504587.38</v>
      </c>
      <c r="I39" s="41">
        <v>0.6014574909990777</v>
      </c>
      <c r="J39" s="29">
        <f t="shared" si="1"/>
        <v>-0.1413881748</v>
      </c>
      <c r="K39" s="29">
        <f t="shared" si="2"/>
        <v>-0.05141388175</v>
      </c>
      <c r="L39" s="29">
        <f t="shared" si="3"/>
        <v>-0.1027749229</v>
      </c>
      <c r="N39" s="22"/>
      <c r="P39" s="42"/>
      <c r="Q39" s="2"/>
      <c r="R39" s="12"/>
      <c r="S39" s="15"/>
      <c r="T39" s="15"/>
      <c r="U39" s="15"/>
      <c r="V39" s="2"/>
      <c r="W39" s="2"/>
      <c r="X39" s="2"/>
      <c r="Y39" s="22"/>
      <c r="Z39" s="22"/>
      <c r="AA39" s="22"/>
      <c r="AC39" s="22"/>
    </row>
    <row r="40">
      <c r="A40" s="4" t="s">
        <v>158</v>
      </c>
      <c r="B40" s="39">
        <v>30.0</v>
      </c>
      <c r="C40" s="40">
        <v>781.2</v>
      </c>
      <c r="D40" s="40">
        <v>0.44</v>
      </c>
      <c r="E40" s="41">
        <v>780.0</v>
      </c>
      <c r="F40" s="41">
        <v>780.58</v>
      </c>
      <c r="G40" s="32">
        <v>781.1</v>
      </c>
      <c r="H40" s="41">
        <v>532237.96</v>
      </c>
      <c r="I40" s="41">
        <v>0.6078286336790599</v>
      </c>
      <c r="J40" s="29">
        <f t="shared" si="1"/>
        <v>-0.153609831</v>
      </c>
      <c r="K40" s="29">
        <f t="shared" si="2"/>
        <v>-0.07936507937</v>
      </c>
      <c r="L40" s="29">
        <f t="shared" si="3"/>
        <v>-0.06657278197</v>
      </c>
      <c r="N40" s="22"/>
      <c r="P40" s="42"/>
      <c r="Q40" s="2"/>
      <c r="R40" s="12"/>
      <c r="S40" s="15"/>
      <c r="T40" s="15"/>
      <c r="U40" s="15"/>
      <c r="V40" s="2"/>
      <c r="W40" s="2"/>
      <c r="X40" s="2"/>
      <c r="Y40" s="22"/>
      <c r="Z40" s="22"/>
      <c r="AA40" s="22"/>
      <c r="AC40" s="22"/>
    </row>
    <row r="41">
      <c r="A41" s="4" t="s">
        <v>158</v>
      </c>
      <c r="B41" s="39">
        <v>34.0</v>
      </c>
      <c r="C41" s="40">
        <v>785.3</v>
      </c>
      <c r="D41" s="40">
        <v>0.49</v>
      </c>
      <c r="E41" s="41">
        <v>784.5</v>
      </c>
      <c r="F41" s="41">
        <v>785.1</v>
      </c>
      <c r="G41" s="32">
        <v>785.3</v>
      </c>
      <c r="H41" s="41">
        <v>585645.6799999999</v>
      </c>
      <c r="I41" s="41">
        <v>0.5076297824241162</v>
      </c>
      <c r="J41" s="29">
        <f t="shared" si="1"/>
        <v>-0.1018718961</v>
      </c>
      <c r="K41" s="29">
        <f t="shared" si="2"/>
        <v>-0.02546797402</v>
      </c>
      <c r="L41" s="29">
        <f t="shared" si="3"/>
        <v>-0.02546797402</v>
      </c>
      <c r="N41" s="22"/>
      <c r="P41" s="42"/>
      <c r="Q41" s="2"/>
      <c r="R41" s="12"/>
      <c r="S41" s="15"/>
      <c r="T41" s="15"/>
      <c r="U41" s="15"/>
      <c r="V41" s="2"/>
      <c r="W41" s="2"/>
      <c r="X41" s="2"/>
      <c r="Y41" s="22"/>
      <c r="Z41" s="22"/>
      <c r="AA41" s="22"/>
      <c r="AC41" s="22"/>
    </row>
    <row r="42">
      <c r="A42" s="4" t="s">
        <v>158</v>
      </c>
      <c r="B42" s="39">
        <v>38.0</v>
      </c>
      <c r="C42" s="40">
        <v>788.9</v>
      </c>
      <c r="D42" s="40">
        <v>0.53</v>
      </c>
      <c r="E42" s="41">
        <v>787.6</v>
      </c>
      <c r="F42" s="41">
        <v>788.12</v>
      </c>
      <c r="G42" s="32">
        <v>788.8</v>
      </c>
      <c r="H42" s="41">
        <v>646759.56</v>
      </c>
      <c r="I42" s="41">
        <v>0.552351141974112</v>
      </c>
      <c r="J42" s="29">
        <f t="shared" si="1"/>
        <v>-0.1647864115</v>
      </c>
      <c r="K42" s="29">
        <f t="shared" si="2"/>
        <v>-0.09887184688</v>
      </c>
      <c r="L42" s="29">
        <f t="shared" si="3"/>
        <v>-0.08620689655</v>
      </c>
      <c r="N42" s="22"/>
      <c r="P42" s="42"/>
      <c r="Q42" s="2"/>
      <c r="R42" s="12"/>
      <c r="S42" s="15"/>
      <c r="T42" s="15"/>
      <c r="U42" s="15"/>
      <c r="V42" s="2"/>
      <c r="W42" s="2"/>
      <c r="X42" s="2"/>
      <c r="Y42" s="22"/>
      <c r="Z42" s="22"/>
      <c r="AA42" s="22"/>
      <c r="AC42" s="22"/>
    </row>
    <row r="43">
      <c r="A43" s="4" t="s">
        <v>158</v>
      </c>
      <c r="B43" s="39">
        <v>40.0</v>
      </c>
      <c r="C43" s="40">
        <v>789.8</v>
      </c>
      <c r="D43" s="40">
        <v>0.57</v>
      </c>
      <c r="E43" s="41">
        <v>789.3</v>
      </c>
      <c r="F43" s="41">
        <v>789.74</v>
      </c>
      <c r="G43" s="32">
        <v>789.9</v>
      </c>
      <c r="H43" s="41">
        <v>672794.8200000001</v>
      </c>
      <c r="I43" s="41">
        <v>0.3880343747225621</v>
      </c>
      <c r="J43" s="29">
        <f t="shared" si="1"/>
        <v>-0.06330716637</v>
      </c>
      <c r="K43" s="29">
        <f t="shared" si="2"/>
        <v>-0.007596859965</v>
      </c>
      <c r="L43" s="29">
        <f t="shared" si="3"/>
        <v>-0.02025572857</v>
      </c>
      <c r="N43" s="22"/>
      <c r="P43" s="42"/>
      <c r="Q43" s="2"/>
      <c r="R43" s="12"/>
      <c r="S43" s="15"/>
      <c r="T43" s="15"/>
      <c r="U43" s="15"/>
      <c r="V43" s="2"/>
      <c r="W43" s="2"/>
      <c r="X43" s="2"/>
      <c r="Y43" s="22"/>
      <c r="Z43" s="22"/>
      <c r="AA43" s="22"/>
      <c r="AC43" s="22"/>
    </row>
    <row r="44">
      <c r="A44" s="4" t="s">
        <v>158</v>
      </c>
      <c r="B44" s="39">
        <v>44.0</v>
      </c>
      <c r="C44" s="40">
        <v>791.9</v>
      </c>
      <c r="D44" s="40">
        <v>0.62</v>
      </c>
      <c r="E44" s="41">
        <v>791.0</v>
      </c>
      <c r="F44" s="41">
        <v>791.54</v>
      </c>
      <c r="G44" s="32">
        <v>792.1</v>
      </c>
      <c r="H44" s="41">
        <v>731624.44</v>
      </c>
      <c r="I44" s="41">
        <v>0.4686851393207044</v>
      </c>
      <c r="J44" s="29">
        <f t="shared" si="1"/>
        <v>-0.1136507135</v>
      </c>
      <c r="K44" s="29">
        <f t="shared" si="2"/>
        <v>-0.04546028539</v>
      </c>
      <c r="L44" s="29">
        <f t="shared" si="3"/>
        <v>-0.07069814417</v>
      </c>
      <c r="N44" s="22"/>
      <c r="P44" s="42"/>
      <c r="Q44" s="2"/>
      <c r="R44" s="12"/>
      <c r="S44" s="15"/>
      <c r="T44" s="15"/>
      <c r="U44" s="15"/>
      <c r="V44" s="2"/>
      <c r="W44" s="2"/>
      <c r="X44" s="2"/>
      <c r="Y44" s="22"/>
      <c r="Z44" s="22"/>
      <c r="AA44" s="22"/>
      <c r="AC44" s="22"/>
    </row>
    <row r="45">
      <c r="A45" s="4" t="s">
        <v>158</v>
      </c>
      <c r="B45" s="39">
        <v>48.0</v>
      </c>
      <c r="C45" s="40">
        <v>793.2</v>
      </c>
      <c r="D45" s="40">
        <v>0.69</v>
      </c>
      <c r="E45" s="41">
        <v>792.6</v>
      </c>
      <c r="F45" s="41">
        <v>792.96</v>
      </c>
      <c r="G45" s="32">
        <v>793.11</v>
      </c>
      <c r="H45" s="41">
        <v>790744.6</v>
      </c>
      <c r="I45" s="41">
        <v>0.3879235650015288</v>
      </c>
      <c r="J45" s="29">
        <f t="shared" si="1"/>
        <v>-0.0756429652</v>
      </c>
      <c r="K45" s="29">
        <f t="shared" si="2"/>
        <v>-0.03025718608</v>
      </c>
      <c r="L45" s="29">
        <f t="shared" si="3"/>
        <v>-0.01891288724</v>
      </c>
      <c r="N45" s="22"/>
      <c r="P45" s="42"/>
      <c r="Q45" s="2"/>
      <c r="R45" s="12"/>
      <c r="S45" s="15"/>
      <c r="T45" s="15"/>
      <c r="U45" s="15"/>
      <c r="V45" s="2"/>
      <c r="W45" s="2"/>
      <c r="X45" s="2"/>
      <c r="Y45" s="22"/>
      <c r="Z45" s="22"/>
      <c r="AA45" s="22"/>
      <c r="AC45" s="22"/>
    </row>
    <row r="46">
      <c r="A46" s="4" t="s">
        <v>158</v>
      </c>
      <c r="B46" s="39">
        <v>50.0</v>
      </c>
      <c r="C46" s="40">
        <v>793.8</v>
      </c>
      <c r="D46" s="40">
        <v>0.74</v>
      </c>
      <c r="E46" s="41">
        <v>793.1</v>
      </c>
      <c r="F46" s="41">
        <v>793.52</v>
      </c>
      <c r="G46" s="32">
        <v>794.18</v>
      </c>
      <c r="H46" s="41">
        <v>816517.24</v>
      </c>
      <c r="I46" s="41">
        <v>0.41681731190441973</v>
      </c>
      <c r="J46" s="29">
        <f t="shared" si="1"/>
        <v>-0.08818342152</v>
      </c>
      <c r="K46" s="29">
        <f t="shared" si="2"/>
        <v>-0.03527336861</v>
      </c>
      <c r="L46" s="29">
        <f t="shared" si="3"/>
        <v>-0.08310458586</v>
      </c>
      <c r="N46" s="22"/>
      <c r="P46" s="42"/>
      <c r="Q46" s="2"/>
      <c r="R46" s="12"/>
      <c r="S46" s="15"/>
      <c r="T46" s="15"/>
      <c r="U46" s="15"/>
      <c r="V46" s="2"/>
      <c r="W46" s="2"/>
      <c r="X46" s="2"/>
      <c r="Y46" s="22"/>
      <c r="Z46" s="22"/>
      <c r="AA46" s="22"/>
      <c r="AC46" s="22"/>
    </row>
    <row r="47">
      <c r="A47" s="4" t="s">
        <v>159</v>
      </c>
      <c r="B47" s="39">
        <v>2.0</v>
      </c>
      <c r="C47" s="40">
        <v>200.8</v>
      </c>
      <c r="D47" s="40">
        <v>0.13</v>
      </c>
      <c r="E47" s="41">
        <v>171.6</v>
      </c>
      <c r="F47" s="41">
        <v>173.02</v>
      </c>
      <c r="G47" s="32">
        <v>237.3</v>
      </c>
      <c r="H47" s="41">
        <v>150411.4</v>
      </c>
      <c r="I47" s="41">
        <v>1.1946809489102947</v>
      </c>
      <c r="J47" s="29">
        <f t="shared" si="1"/>
        <v>-14.54183267</v>
      </c>
      <c r="K47" s="29">
        <f t="shared" si="2"/>
        <v>-13.83466135</v>
      </c>
      <c r="L47" s="29">
        <f t="shared" si="3"/>
        <v>-27.08807417</v>
      </c>
      <c r="N47" s="22"/>
      <c r="P47" s="42"/>
      <c r="Q47" s="2"/>
      <c r="R47" s="12"/>
      <c r="S47" s="15"/>
      <c r="T47" s="15"/>
      <c r="U47" s="15"/>
      <c r="V47" s="2"/>
      <c r="W47" s="2"/>
      <c r="X47" s="2"/>
      <c r="Y47" s="22"/>
      <c r="Z47" s="22"/>
      <c r="AA47" s="22"/>
      <c r="AC47" s="22"/>
    </row>
    <row r="48">
      <c r="A48" s="4" t="s">
        <v>159</v>
      </c>
      <c r="B48" s="39">
        <v>4.0</v>
      </c>
      <c r="C48" s="40">
        <v>439.3</v>
      </c>
      <c r="D48" s="40">
        <v>0.22</v>
      </c>
      <c r="E48" s="41">
        <v>399.7</v>
      </c>
      <c r="F48" s="41">
        <v>401.8</v>
      </c>
      <c r="G48" s="32">
        <v>449.4</v>
      </c>
      <c r="H48" s="41">
        <v>187582.54</v>
      </c>
      <c r="I48" s="41">
        <v>1.8920656842556778</v>
      </c>
      <c r="J48" s="29">
        <f t="shared" si="1"/>
        <v>-9.014340997</v>
      </c>
      <c r="K48" s="29">
        <f t="shared" si="2"/>
        <v>-8.536307762</v>
      </c>
      <c r="L48" s="29">
        <f t="shared" si="3"/>
        <v>-10.59190031</v>
      </c>
      <c r="N48" s="22"/>
      <c r="P48" s="42"/>
      <c r="Q48" s="2"/>
      <c r="R48" s="12"/>
      <c r="S48" s="15"/>
      <c r="T48" s="15"/>
      <c r="U48" s="15"/>
      <c r="V48" s="2"/>
      <c r="W48" s="2"/>
      <c r="X48" s="2"/>
      <c r="Y48" s="22"/>
      <c r="Z48" s="22"/>
      <c r="AA48" s="22"/>
      <c r="AC48" s="22"/>
    </row>
    <row r="49">
      <c r="A49" s="4" t="s">
        <v>159</v>
      </c>
      <c r="B49" s="39">
        <v>6.0</v>
      </c>
      <c r="C49" s="40">
        <v>630.9</v>
      </c>
      <c r="D49" s="40">
        <v>0.29</v>
      </c>
      <c r="E49" s="41">
        <v>604.9</v>
      </c>
      <c r="F49" s="41">
        <v>606.92</v>
      </c>
      <c r="G49" s="32">
        <v>635.8</v>
      </c>
      <c r="H49" s="41">
        <v>227118.0</v>
      </c>
      <c r="I49" s="41">
        <v>1.8100608293649583</v>
      </c>
      <c r="J49" s="29">
        <f t="shared" si="1"/>
        <v>-4.121096846</v>
      </c>
      <c r="K49" s="29">
        <f t="shared" si="2"/>
        <v>-3.800919322</v>
      </c>
      <c r="L49" s="29">
        <f t="shared" si="3"/>
        <v>-4.542308902</v>
      </c>
      <c r="N49" s="22"/>
      <c r="P49" s="42"/>
      <c r="Q49" s="2"/>
      <c r="R49" s="12"/>
      <c r="S49" s="15"/>
      <c r="T49" s="15"/>
      <c r="U49" s="15"/>
      <c r="V49" s="2"/>
      <c r="W49" s="2"/>
      <c r="X49" s="2"/>
      <c r="Y49" s="17"/>
      <c r="Z49" s="22"/>
      <c r="AA49" s="22"/>
      <c r="AC49" s="22"/>
    </row>
    <row r="50">
      <c r="A50" s="4" t="s">
        <v>159</v>
      </c>
      <c r="B50" s="39">
        <v>8.0</v>
      </c>
      <c r="C50" s="40">
        <v>748.6</v>
      </c>
      <c r="D50" s="40">
        <v>0.34</v>
      </c>
      <c r="E50" s="41">
        <v>727.7</v>
      </c>
      <c r="F50" s="41">
        <v>730.72</v>
      </c>
      <c r="G50" s="32">
        <v>748.2</v>
      </c>
      <c r="H50" s="41">
        <v>266263.78</v>
      </c>
      <c r="I50" s="41">
        <v>1.9985383801463312</v>
      </c>
      <c r="J50" s="29">
        <f t="shared" si="1"/>
        <v>-2.791878173</v>
      </c>
      <c r="K50" s="29">
        <f t="shared" si="2"/>
        <v>-2.388458456</v>
      </c>
      <c r="L50" s="29">
        <f t="shared" si="3"/>
        <v>-2.336273724</v>
      </c>
      <c r="N50" s="22"/>
      <c r="P50" s="42"/>
      <c r="Q50" s="2"/>
      <c r="R50" s="12"/>
      <c r="S50" s="15"/>
      <c r="T50" s="15"/>
      <c r="U50" s="15"/>
      <c r="V50" s="2"/>
      <c r="W50" s="2"/>
      <c r="X50" s="2"/>
      <c r="Y50" s="22"/>
      <c r="Z50" s="22"/>
      <c r="AA50" s="22"/>
      <c r="AC50" s="22"/>
    </row>
    <row r="51">
      <c r="A51" s="4" t="s">
        <v>159</v>
      </c>
      <c r="B51" s="39">
        <v>10.0</v>
      </c>
      <c r="C51" s="40">
        <v>821.2</v>
      </c>
      <c r="D51" s="40">
        <v>0.37</v>
      </c>
      <c r="E51" s="41">
        <v>807.9</v>
      </c>
      <c r="F51" s="41">
        <v>810.3</v>
      </c>
      <c r="G51" s="32">
        <v>822.3</v>
      </c>
      <c r="H51" s="41">
        <v>305087.4</v>
      </c>
      <c r="I51" s="41">
        <v>1.7299985781592864</v>
      </c>
      <c r="J51" s="29">
        <f t="shared" si="1"/>
        <v>-1.619581101</v>
      </c>
      <c r="K51" s="29">
        <f t="shared" si="2"/>
        <v>-1.327325865</v>
      </c>
      <c r="L51" s="29">
        <f t="shared" si="3"/>
        <v>-1.459321416</v>
      </c>
      <c r="N51" s="22"/>
      <c r="P51" s="42"/>
      <c r="Q51" s="2"/>
      <c r="R51" s="12"/>
      <c r="S51" s="15"/>
      <c r="T51" s="15"/>
      <c r="U51" s="15"/>
      <c r="V51" s="2"/>
      <c r="W51" s="2"/>
      <c r="X51" s="2"/>
      <c r="Y51" s="22"/>
      <c r="Z51" s="22"/>
      <c r="AA51" s="22"/>
      <c r="AC51" s="22"/>
    </row>
    <row r="52">
      <c r="A52" s="4" t="s">
        <v>159</v>
      </c>
      <c r="B52" s="39">
        <v>14.0</v>
      </c>
      <c r="C52" s="40">
        <v>899.1</v>
      </c>
      <c r="D52" s="40">
        <v>0.42</v>
      </c>
      <c r="E52" s="41">
        <v>890.3</v>
      </c>
      <c r="F52" s="41">
        <v>892.26</v>
      </c>
      <c r="G52" s="32">
        <v>899.2</v>
      </c>
      <c r="H52" s="41">
        <v>385085.88</v>
      </c>
      <c r="I52" s="41">
        <v>1.320360180386077</v>
      </c>
      <c r="J52" s="29">
        <f t="shared" si="1"/>
        <v>-0.9787565343</v>
      </c>
      <c r="K52" s="29">
        <f t="shared" si="2"/>
        <v>-0.7607607608</v>
      </c>
      <c r="L52" s="29">
        <f t="shared" si="3"/>
        <v>-0.771797153</v>
      </c>
      <c r="N52" s="22"/>
      <c r="P52" s="42"/>
      <c r="Q52" s="2"/>
      <c r="R52" s="12"/>
      <c r="S52" s="15"/>
      <c r="T52" s="15"/>
      <c r="U52" s="15"/>
      <c r="V52" s="2"/>
      <c r="W52" s="2"/>
      <c r="X52" s="2"/>
      <c r="Y52" s="22"/>
      <c r="Z52" s="22"/>
      <c r="AA52" s="22"/>
      <c r="AC52" s="22"/>
    </row>
    <row r="53">
      <c r="A53" s="4" t="s">
        <v>159</v>
      </c>
      <c r="B53" s="39">
        <v>18.0</v>
      </c>
      <c r="C53" s="40">
        <v>935.1</v>
      </c>
      <c r="D53" s="40">
        <v>0.48</v>
      </c>
      <c r="E53" s="41">
        <v>930.8</v>
      </c>
      <c r="F53" s="41">
        <v>932.2</v>
      </c>
      <c r="G53" s="32">
        <v>936.0</v>
      </c>
      <c r="H53" s="41">
        <v>459357.44</v>
      </c>
      <c r="I53" s="41">
        <v>1.1713443334202271</v>
      </c>
      <c r="J53" s="29">
        <f t="shared" si="1"/>
        <v>-0.459843867</v>
      </c>
      <c r="K53" s="29">
        <f t="shared" si="2"/>
        <v>-0.3101272591</v>
      </c>
      <c r="L53" s="29">
        <f t="shared" si="3"/>
        <v>-0.405982906</v>
      </c>
      <c r="N53" s="22"/>
      <c r="P53" s="42"/>
      <c r="Q53" s="2"/>
      <c r="R53" s="12"/>
      <c r="S53" s="15"/>
      <c r="T53" s="15"/>
      <c r="U53" s="15"/>
      <c r="V53" s="2"/>
      <c r="W53" s="2"/>
      <c r="X53" s="2"/>
      <c r="Y53" s="22"/>
      <c r="Z53" s="22"/>
      <c r="AA53" s="22"/>
      <c r="AC53" s="22"/>
    </row>
    <row r="54">
      <c r="A54" s="4" t="s">
        <v>159</v>
      </c>
      <c r="B54" s="39">
        <v>20.0</v>
      </c>
      <c r="C54" s="40">
        <v>945.9</v>
      </c>
      <c r="D54" s="40">
        <v>0.5</v>
      </c>
      <c r="E54" s="41">
        <v>942.9</v>
      </c>
      <c r="F54" s="41">
        <v>944.04</v>
      </c>
      <c r="G54" s="32">
        <v>945.8</v>
      </c>
      <c r="H54" s="41">
        <v>496516.82</v>
      </c>
      <c r="I54" s="41">
        <v>0.9569562189268565</v>
      </c>
      <c r="J54" s="29">
        <f t="shared" si="1"/>
        <v>-0.317158262</v>
      </c>
      <c r="K54" s="29">
        <f t="shared" si="2"/>
        <v>-0.1966381224</v>
      </c>
      <c r="L54" s="29">
        <f t="shared" si="3"/>
        <v>-0.1860858532</v>
      </c>
      <c r="N54" s="22"/>
      <c r="P54" s="42"/>
      <c r="Q54" s="2"/>
      <c r="R54" s="12"/>
      <c r="S54" s="15"/>
      <c r="T54" s="15"/>
      <c r="U54" s="15"/>
      <c r="V54" s="2"/>
      <c r="W54" s="2"/>
      <c r="X54" s="2"/>
      <c r="Y54" s="22"/>
      <c r="Z54" s="22"/>
      <c r="AA54" s="22"/>
      <c r="AC54" s="22"/>
    </row>
    <row r="55">
      <c r="A55" s="4" t="s">
        <v>159</v>
      </c>
      <c r="B55" s="39">
        <v>24.0</v>
      </c>
      <c r="C55" s="40">
        <v>962.9</v>
      </c>
      <c r="D55" s="40">
        <v>0.55</v>
      </c>
      <c r="E55" s="41">
        <v>960.4</v>
      </c>
      <c r="F55" s="41">
        <v>961.38</v>
      </c>
      <c r="G55" s="32">
        <v>962.5</v>
      </c>
      <c r="H55" s="41">
        <v>571753.08</v>
      </c>
      <c r="I55" s="41">
        <v>0.7735544519231141</v>
      </c>
      <c r="J55" s="29">
        <f t="shared" si="1"/>
        <v>-0.2596323606</v>
      </c>
      <c r="K55" s="29">
        <f t="shared" si="2"/>
        <v>-0.1578564752</v>
      </c>
      <c r="L55" s="29">
        <f t="shared" si="3"/>
        <v>-0.1163636364</v>
      </c>
      <c r="N55" s="22"/>
      <c r="P55" s="42"/>
      <c r="Q55" s="2"/>
      <c r="R55" s="12"/>
      <c r="S55" s="15"/>
      <c r="T55" s="15"/>
      <c r="U55" s="15"/>
      <c r="V55" s="2"/>
      <c r="W55" s="2"/>
      <c r="X55" s="2"/>
      <c r="Y55" s="22"/>
      <c r="Z55" s="22"/>
      <c r="AA55" s="22"/>
      <c r="AC55" s="22"/>
    </row>
    <row r="56">
      <c r="A56" s="4" t="s">
        <v>159</v>
      </c>
      <c r="B56" s="39">
        <v>28.0</v>
      </c>
      <c r="C56" s="40">
        <v>972.1</v>
      </c>
      <c r="D56" s="40">
        <v>0.62</v>
      </c>
      <c r="E56" s="41">
        <v>970.9</v>
      </c>
      <c r="F56" s="41">
        <v>971.88</v>
      </c>
      <c r="G56" s="32">
        <v>972.4</v>
      </c>
      <c r="H56" s="41">
        <v>645101.32</v>
      </c>
      <c r="I56" s="41">
        <v>0.8150566903434145</v>
      </c>
      <c r="J56" s="29">
        <f t="shared" si="1"/>
        <v>-0.1234440901</v>
      </c>
      <c r="K56" s="29">
        <f t="shared" si="2"/>
        <v>-0.02263141652</v>
      </c>
      <c r="L56" s="29">
        <f t="shared" si="3"/>
        <v>-0.05347593583</v>
      </c>
      <c r="N56" s="22"/>
      <c r="P56" s="42"/>
      <c r="Q56" s="2"/>
      <c r="R56" s="12"/>
      <c r="S56" s="15"/>
      <c r="T56" s="15"/>
      <c r="U56" s="15"/>
      <c r="V56" s="2"/>
      <c r="W56" s="2"/>
      <c r="X56" s="2"/>
      <c r="Y56" s="22"/>
      <c r="Z56" s="22"/>
      <c r="AA56" s="22"/>
      <c r="AC56" s="22"/>
    </row>
    <row r="57">
      <c r="A57" s="4" t="s">
        <v>159</v>
      </c>
      <c r="B57" s="39">
        <v>30.0</v>
      </c>
      <c r="C57" s="40">
        <v>975.3</v>
      </c>
      <c r="D57" s="40">
        <v>0.65</v>
      </c>
      <c r="E57" s="41">
        <v>974.5</v>
      </c>
      <c r="F57" s="41">
        <v>975.36</v>
      </c>
      <c r="G57" s="32">
        <v>976.1</v>
      </c>
      <c r="H57" s="41">
        <v>679983.84</v>
      </c>
      <c r="I57" s="41">
        <v>0.631853774594616</v>
      </c>
      <c r="J57" s="29">
        <f t="shared" si="1"/>
        <v>-0.08202604327</v>
      </c>
      <c r="K57" s="29">
        <f t="shared" si="2"/>
        <v>0.006151953245</v>
      </c>
      <c r="L57" s="29">
        <f t="shared" si="3"/>
        <v>-0.07581190452</v>
      </c>
      <c r="N57" s="22"/>
      <c r="P57" s="42"/>
      <c r="Q57" s="2"/>
      <c r="R57" s="12"/>
      <c r="S57" s="15"/>
      <c r="T57" s="15"/>
      <c r="U57" s="15"/>
      <c r="V57" s="2"/>
      <c r="W57" s="2"/>
      <c r="X57" s="2"/>
      <c r="Y57" s="22"/>
      <c r="Z57" s="22"/>
      <c r="AA57" s="22"/>
      <c r="AC57" s="22"/>
    </row>
    <row r="58">
      <c r="A58" s="4" t="s">
        <v>159</v>
      </c>
      <c r="B58" s="39">
        <v>34.0</v>
      </c>
      <c r="C58" s="40">
        <v>981.6</v>
      </c>
      <c r="D58" s="40">
        <v>0.71</v>
      </c>
      <c r="E58" s="41">
        <v>980.6</v>
      </c>
      <c r="F58" s="41">
        <v>981.28</v>
      </c>
      <c r="G58" s="32">
        <v>981.8</v>
      </c>
      <c r="H58" s="41">
        <v>755891.5</v>
      </c>
      <c r="I58" s="41">
        <v>0.5855190686309396</v>
      </c>
      <c r="J58" s="29">
        <f t="shared" si="1"/>
        <v>-0.1018744906</v>
      </c>
      <c r="K58" s="29">
        <f t="shared" si="2"/>
        <v>-0.032599837</v>
      </c>
      <c r="L58" s="29">
        <f t="shared" si="3"/>
        <v>-0.05296394378</v>
      </c>
      <c r="N58" s="22"/>
      <c r="P58" s="42"/>
      <c r="Q58" s="2"/>
      <c r="R58" s="12"/>
      <c r="S58" s="15"/>
      <c r="T58" s="15"/>
      <c r="U58" s="15"/>
      <c r="V58" s="2"/>
      <c r="W58" s="2"/>
      <c r="X58" s="2"/>
      <c r="Y58" s="22"/>
      <c r="Z58" s="22"/>
      <c r="AA58" s="22"/>
      <c r="AC58" s="22"/>
    </row>
    <row r="59">
      <c r="A59" s="4" t="s">
        <v>159</v>
      </c>
      <c r="B59" s="39">
        <v>38.0</v>
      </c>
      <c r="C59" s="40">
        <v>985.0</v>
      </c>
      <c r="D59" s="40">
        <v>0.77</v>
      </c>
      <c r="E59" s="41">
        <v>984.6</v>
      </c>
      <c r="F59" s="41">
        <v>985.16</v>
      </c>
      <c r="G59" s="32">
        <v>985.1</v>
      </c>
      <c r="H59" s="41">
        <v>830501.48</v>
      </c>
      <c r="I59" s="41">
        <v>0.5465744255275279</v>
      </c>
      <c r="J59" s="29">
        <f t="shared" si="1"/>
        <v>-0.04060913706</v>
      </c>
      <c r="K59" s="29">
        <f t="shared" si="2"/>
        <v>0.01624365482</v>
      </c>
      <c r="L59" s="29">
        <f t="shared" si="3"/>
        <v>0.006090752208</v>
      </c>
      <c r="N59" s="22"/>
      <c r="P59" s="42"/>
      <c r="Q59" s="2"/>
      <c r="R59" s="12"/>
      <c r="S59" s="15"/>
      <c r="T59" s="15"/>
      <c r="U59" s="15"/>
      <c r="V59" s="2"/>
      <c r="W59" s="2"/>
      <c r="X59" s="2"/>
      <c r="Y59" s="22"/>
      <c r="Z59" s="22"/>
      <c r="AA59" s="22"/>
      <c r="AC59" s="22"/>
    </row>
    <row r="60">
      <c r="A60" s="4" t="s">
        <v>159</v>
      </c>
      <c r="B60" s="39">
        <v>40.0</v>
      </c>
      <c r="C60" s="40">
        <v>986.7</v>
      </c>
      <c r="D60" s="40">
        <v>0.8</v>
      </c>
      <c r="E60" s="41">
        <v>986.2</v>
      </c>
      <c r="F60" s="41">
        <v>986.76</v>
      </c>
      <c r="G60" s="32">
        <v>986.9</v>
      </c>
      <c r="H60" s="41">
        <v>862757.3</v>
      </c>
      <c r="I60" s="41">
        <v>0.47884684524225846</v>
      </c>
      <c r="J60" s="29">
        <f t="shared" si="1"/>
        <v>-0.05067396372</v>
      </c>
      <c r="K60" s="29">
        <f t="shared" si="2"/>
        <v>0.006080875646</v>
      </c>
      <c r="L60" s="29">
        <f t="shared" si="3"/>
        <v>-0.01418583443</v>
      </c>
      <c r="N60" s="22"/>
      <c r="P60" s="42"/>
      <c r="Q60" s="2"/>
      <c r="R60" s="12"/>
      <c r="S60" s="15"/>
      <c r="T60" s="15"/>
      <c r="U60" s="15"/>
      <c r="V60" s="2"/>
      <c r="W60" s="2"/>
      <c r="X60" s="2"/>
      <c r="Y60" s="22"/>
      <c r="Z60" s="22"/>
      <c r="AA60" s="22"/>
      <c r="AC60" s="22"/>
    </row>
    <row r="61">
      <c r="A61" s="4" t="s">
        <v>159</v>
      </c>
      <c r="B61" s="39">
        <v>44.0</v>
      </c>
      <c r="C61" s="40">
        <v>989.2</v>
      </c>
      <c r="D61" s="40">
        <v>0.88</v>
      </c>
      <c r="E61" s="41">
        <v>988.7</v>
      </c>
      <c r="F61" s="41">
        <v>989.24</v>
      </c>
      <c r="G61" s="32">
        <v>989.3</v>
      </c>
      <c r="H61" s="41">
        <v>933642.96</v>
      </c>
      <c r="I61" s="41">
        <v>0.552351141974112</v>
      </c>
      <c r="J61" s="29">
        <f t="shared" si="1"/>
        <v>-0.05054589567</v>
      </c>
      <c r="K61" s="29">
        <f t="shared" si="2"/>
        <v>0.004043671654</v>
      </c>
      <c r="L61" s="29">
        <f t="shared" si="3"/>
        <v>-0.00606489437</v>
      </c>
      <c r="N61" s="22"/>
      <c r="P61" s="42"/>
      <c r="Q61" s="2"/>
      <c r="R61" s="12"/>
      <c r="S61" s="15"/>
      <c r="T61" s="15"/>
      <c r="U61" s="15"/>
      <c r="V61" s="2"/>
      <c r="W61" s="2"/>
      <c r="X61" s="2"/>
      <c r="Y61" s="22"/>
      <c r="Z61" s="22"/>
      <c r="AA61" s="22"/>
      <c r="AC61" s="22"/>
    </row>
    <row r="62">
      <c r="A62" s="4" t="s">
        <v>159</v>
      </c>
      <c r="B62" s="39">
        <v>48.0</v>
      </c>
      <c r="C62" s="40">
        <v>991.4</v>
      </c>
      <c r="D62" s="40">
        <v>0.98</v>
      </c>
      <c r="E62" s="41">
        <v>990.6</v>
      </c>
      <c r="F62" s="41">
        <v>991.0</v>
      </c>
      <c r="G62" s="32">
        <v>991.4</v>
      </c>
      <c r="H62" s="41">
        <v>1012416.88</v>
      </c>
      <c r="I62" s="41">
        <v>0.42396377977070854</v>
      </c>
      <c r="J62" s="29">
        <f t="shared" si="1"/>
        <v>-0.08069396813</v>
      </c>
      <c r="K62" s="29">
        <f t="shared" si="2"/>
        <v>-0.04034698406</v>
      </c>
      <c r="L62" s="29">
        <f t="shared" si="3"/>
        <v>-0.04034698406</v>
      </c>
      <c r="N62" s="22"/>
      <c r="P62" s="42"/>
      <c r="Q62" s="2"/>
      <c r="R62" s="12"/>
      <c r="S62" s="15"/>
      <c r="T62" s="15"/>
      <c r="U62" s="15"/>
      <c r="V62" s="2"/>
      <c r="W62" s="2"/>
      <c r="X62" s="2"/>
      <c r="Y62" s="22"/>
      <c r="Z62" s="22"/>
      <c r="AA62" s="22"/>
      <c r="AC62" s="22"/>
    </row>
    <row r="63">
      <c r="A63" s="4" t="s">
        <v>159</v>
      </c>
      <c r="B63" s="39">
        <v>50.0</v>
      </c>
      <c r="C63" s="40">
        <v>991.6</v>
      </c>
      <c r="D63" s="40">
        <v>1.04</v>
      </c>
      <c r="E63" s="41">
        <v>991.6</v>
      </c>
      <c r="F63" s="41">
        <v>991.9</v>
      </c>
      <c r="G63" s="32">
        <v>991.9</v>
      </c>
      <c r="H63" s="41">
        <v>1052088.92</v>
      </c>
      <c r="I63" s="41">
        <v>0.2437085901510206</v>
      </c>
      <c r="J63" s="29">
        <f t="shared" si="1"/>
        <v>0</v>
      </c>
      <c r="K63" s="29">
        <f t="shared" si="2"/>
        <v>0.03025413473</v>
      </c>
      <c r="L63" s="29">
        <f t="shared" si="3"/>
        <v>0</v>
      </c>
      <c r="N63" s="22"/>
      <c r="P63" s="42"/>
      <c r="Q63" s="2"/>
      <c r="R63" s="12"/>
      <c r="S63" s="15"/>
      <c r="T63" s="15"/>
      <c r="U63" s="15"/>
      <c r="V63" s="2"/>
      <c r="W63" s="2"/>
      <c r="X63" s="2"/>
      <c r="Y63" s="22"/>
      <c r="Z63" s="22"/>
      <c r="AA63" s="22"/>
      <c r="AC63" s="22"/>
    </row>
    <row r="64">
      <c r="A64" s="4" t="s">
        <v>159</v>
      </c>
      <c r="B64" s="39">
        <v>54.0</v>
      </c>
      <c r="C64" s="40">
        <v>992.9</v>
      </c>
      <c r="D64" s="40">
        <v>1.14</v>
      </c>
      <c r="E64" s="41">
        <v>992.9</v>
      </c>
      <c r="F64" s="41">
        <v>993.16</v>
      </c>
      <c r="G64" s="32">
        <v>993.3</v>
      </c>
      <c r="H64" s="41">
        <v>1121446.32</v>
      </c>
      <c r="I64" s="41">
        <v>0.38214684855494474</v>
      </c>
      <c r="J64" s="29">
        <f t="shared" si="1"/>
        <v>0</v>
      </c>
      <c r="K64" s="29">
        <f t="shared" si="2"/>
        <v>0.02618592003</v>
      </c>
      <c r="L64" s="29">
        <f t="shared" si="3"/>
        <v>-0.0140944327</v>
      </c>
      <c r="N64" s="22"/>
      <c r="P64" s="42"/>
      <c r="Q64" s="2"/>
      <c r="R64" s="12"/>
      <c r="S64" s="15"/>
      <c r="T64" s="15"/>
      <c r="U64" s="15"/>
      <c r="V64" s="2"/>
      <c r="W64" s="2"/>
      <c r="X64" s="2"/>
      <c r="Y64" s="22"/>
      <c r="Z64" s="22"/>
      <c r="AA64" s="22"/>
      <c r="AC64" s="22"/>
    </row>
    <row r="65">
      <c r="A65" s="42"/>
      <c r="B65" s="2"/>
      <c r="C65" s="12"/>
      <c r="D65" s="15"/>
      <c r="E65" s="15"/>
      <c r="F65" s="15"/>
      <c r="G65" s="2"/>
      <c r="H65" s="2"/>
      <c r="I65" s="2"/>
      <c r="J65" s="22"/>
      <c r="K65" s="22"/>
      <c r="L65" s="22"/>
      <c r="N65" s="22"/>
      <c r="P65" s="42"/>
      <c r="Q65" s="2"/>
      <c r="R65" s="12"/>
      <c r="S65" s="15"/>
      <c r="T65" s="15"/>
      <c r="U65" s="15"/>
      <c r="V65" s="2"/>
      <c r="W65" s="2"/>
      <c r="X65" s="2"/>
      <c r="Y65" s="22"/>
      <c r="Z65" s="22"/>
      <c r="AA65" s="22"/>
      <c r="AC65" s="22"/>
    </row>
    <row r="66">
      <c r="A66" s="42"/>
      <c r="B66" s="2"/>
      <c r="C66" s="12"/>
      <c r="D66" s="15"/>
      <c r="E66" s="15"/>
      <c r="F66" s="15"/>
      <c r="G66" s="2"/>
      <c r="H66" s="2"/>
      <c r="I66" s="2"/>
      <c r="J66" s="43"/>
      <c r="K66" s="22"/>
      <c r="L66" s="22"/>
      <c r="N66" s="22"/>
      <c r="P66" s="42"/>
      <c r="Q66" s="2"/>
      <c r="R66" s="12"/>
      <c r="S66" s="15"/>
      <c r="T66" s="15"/>
      <c r="U66" s="15"/>
      <c r="V66" s="2"/>
      <c r="W66" s="2"/>
      <c r="X66" s="2"/>
      <c r="Y66" s="43"/>
      <c r="Z66" s="22"/>
      <c r="AA66" s="22"/>
      <c r="AC66" s="22"/>
    </row>
    <row r="67">
      <c r="E67" s="15"/>
      <c r="T67" s="15"/>
    </row>
    <row r="69">
      <c r="A69" s="4"/>
      <c r="B69" s="39"/>
      <c r="C69" s="41"/>
      <c r="D69" s="10"/>
      <c r="E69" s="38"/>
      <c r="F69" s="41"/>
      <c r="G69" s="9"/>
      <c r="H69" s="41"/>
      <c r="I69" s="38"/>
      <c r="J69" s="32"/>
      <c r="K69" s="38"/>
      <c r="L69" s="41"/>
      <c r="M69" s="38"/>
      <c r="N69" s="9"/>
      <c r="O69" s="38"/>
      <c r="P69" s="44"/>
      <c r="Q69" s="38"/>
      <c r="R69" s="44"/>
      <c r="S69" s="38"/>
    </row>
    <row r="70">
      <c r="A70" s="4"/>
      <c r="B70" s="39"/>
      <c r="C70" s="41"/>
      <c r="D70" s="10"/>
      <c r="E70" s="38"/>
      <c r="F70" s="41"/>
      <c r="G70" s="9"/>
      <c r="H70" s="41"/>
      <c r="I70" s="38"/>
      <c r="J70" s="32"/>
      <c r="K70" s="38"/>
      <c r="L70" s="41"/>
      <c r="M70" s="38"/>
      <c r="N70" s="9"/>
      <c r="O70" s="38"/>
      <c r="P70" s="44"/>
      <c r="Q70" s="38"/>
      <c r="R70" s="44"/>
      <c r="S70" s="38"/>
    </row>
    <row r="71">
      <c r="A71" s="4"/>
      <c r="B71" s="39"/>
      <c r="C71" s="41"/>
      <c r="D71" s="10"/>
      <c r="E71" s="38"/>
      <c r="F71" s="41"/>
      <c r="G71" s="9"/>
      <c r="H71" s="41"/>
      <c r="I71" s="38"/>
      <c r="J71" s="32"/>
      <c r="K71" s="38"/>
      <c r="L71" s="41"/>
      <c r="M71" s="38"/>
      <c r="N71" s="9"/>
      <c r="O71" s="38"/>
      <c r="P71" s="44"/>
      <c r="Q71" s="38"/>
      <c r="R71" s="44"/>
      <c r="S71" s="38"/>
    </row>
    <row r="72">
      <c r="A72" s="4"/>
      <c r="B72" s="39"/>
      <c r="C72" s="41"/>
      <c r="D72" s="10"/>
      <c r="E72" s="38"/>
      <c r="F72" s="41"/>
      <c r="G72" s="9"/>
      <c r="H72" s="41"/>
      <c r="I72" s="38"/>
      <c r="J72" s="32"/>
      <c r="K72" s="38"/>
      <c r="L72" s="41"/>
      <c r="M72" s="38"/>
      <c r="N72" s="9"/>
      <c r="O72" s="38"/>
      <c r="P72" s="44"/>
      <c r="Q72" s="38"/>
      <c r="R72" s="44"/>
      <c r="S72" s="38"/>
    </row>
    <row r="73">
      <c r="A73" s="4"/>
      <c r="B73" s="39"/>
      <c r="C73" s="41"/>
      <c r="D73" s="10"/>
      <c r="E73" s="38"/>
      <c r="F73" s="41"/>
      <c r="G73" s="9"/>
      <c r="H73" s="41"/>
      <c r="I73" s="38"/>
      <c r="J73" s="32"/>
      <c r="K73" s="38"/>
      <c r="L73" s="41"/>
      <c r="M73" s="38"/>
      <c r="N73" s="9"/>
      <c r="O73" s="38"/>
      <c r="P73" s="44"/>
      <c r="Q73" s="38"/>
      <c r="R73" s="44"/>
      <c r="S73" s="38"/>
    </row>
    <row r="74">
      <c r="A74" s="4"/>
      <c r="B74" s="39"/>
      <c r="C74" s="41"/>
      <c r="D74" s="10"/>
      <c r="E74" s="38"/>
      <c r="F74" s="41"/>
      <c r="G74" s="9"/>
      <c r="H74" s="41"/>
      <c r="I74" s="38"/>
      <c r="J74" s="32"/>
      <c r="K74" s="38"/>
      <c r="L74" s="41"/>
      <c r="M74" s="38"/>
      <c r="N74" s="9"/>
      <c r="O74" s="38"/>
      <c r="P74" s="44"/>
      <c r="Q74" s="38"/>
      <c r="R74" s="44"/>
      <c r="S74" s="38"/>
    </row>
    <row r="75">
      <c r="A75" s="4"/>
      <c r="B75" s="39"/>
      <c r="C75" s="41"/>
      <c r="D75" s="10"/>
      <c r="E75" s="38"/>
      <c r="F75" s="41"/>
      <c r="G75" s="9"/>
      <c r="H75" s="41"/>
      <c r="I75" s="38"/>
      <c r="J75" s="32"/>
      <c r="K75" s="38"/>
      <c r="L75" s="41"/>
      <c r="M75" s="38"/>
      <c r="N75" s="9"/>
      <c r="O75" s="38"/>
      <c r="P75" s="44"/>
      <c r="Q75" s="38"/>
      <c r="R75" s="44"/>
      <c r="S75" s="38"/>
    </row>
    <row r="76">
      <c r="A76" s="4"/>
      <c r="B76" s="39"/>
      <c r="C76" s="41"/>
      <c r="D76" s="10"/>
      <c r="E76" s="38"/>
      <c r="F76" s="41"/>
      <c r="G76" s="9"/>
      <c r="H76" s="41"/>
      <c r="I76" s="38"/>
      <c r="J76" s="32"/>
      <c r="K76" s="38"/>
      <c r="L76" s="41"/>
      <c r="M76" s="38"/>
      <c r="N76" s="9"/>
      <c r="O76" s="38"/>
      <c r="P76" s="44"/>
      <c r="Q76" s="38"/>
      <c r="R76" s="44"/>
      <c r="S76" s="38"/>
    </row>
    <row r="77">
      <c r="A77" s="4"/>
      <c r="B77" s="39"/>
      <c r="C77" s="41"/>
      <c r="D77" s="10"/>
      <c r="E77" s="38"/>
      <c r="F77" s="41"/>
      <c r="G77" s="9"/>
      <c r="H77" s="41"/>
      <c r="I77" s="38"/>
      <c r="J77" s="32"/>
      <c r="K77" s="38"/>
      <c r="L77" s="41"/>
      <c r="M77" s="38"/>
      <c r="N77" s="9"/>
      <c r="O77" s="38"/>
      <c r="P77" s="44"/>
      <c r="Q77" s="38"/>
      <c r="R77" s="44"/>
      <c r="S77" s="38"/>
    </row>
    <row r="78">
      <c r="A78" s="4"/>
      <c r="B78" s="39"/>
      <c r="C78" s="41"/>
      <c r="D78" s="10"/>
      <c r="E78" s="38"/>
      <c r="F78" s="41"/>
      <c r="G78" s="9"/>
      <c r="H78" s="41"/>
      <c r="I78" s="38"/>
      <c r="J78" s="32"/>
      <c r="K78" s="38"/>
      <c r="L78" s="41"/>
      <c r="M78" s="38"/>
      <c r="N78" s="9"/>
      <c r="O78" s="38"/>
      <c r="P78" s="44"/>
      <c r="Q78" s="38"/>
      <c r="R78" s="44"/>
      <c r="S78" s="38"/>
    </row>
    <row r="79">
      <c r="A79" s="4"/>
      <c r="B79" s="39"/>
      <c r="C79" s="41"/>
      <c r="D79" s="10"/>
      <c r="E79" s="38"/>
      <c r="F79" s="41"/>
      <c r="G79" s="9"/>
      <c r="H79" s="41"/>
      <c r="I79" s="38"/>
      <c r="J79" s="32"/>
      <c r="K79" s="38"/>
      <c r="L79" s="41"/>
      <c r="M79" s="38"/>
      <c r="N79" s="9"/>
      <c r="O79" s="38"/>
      <c r="P79" s="44"/>
      <c r="Q79" s="38"/>
      <c r="R79" s="44"/>
      <c r="S79" s="38"/>
    </row>
    <row r="80">
      <c r="A80" s="4"/>
      <c r="B80" s="39"/>
      <c r="C80" s="41"/>
      <c r="D80" s="10"/>
      <c r="E80" s="38"/>
      <c r="F80" s="41"/>
      <c r="G80" s="9"/>
      <c r="H80" s="41"/>
      <c r="I80" s="38"/>
      <c r="J80" s="32"/>
      <c r="K80" s="38"/>
      <c r="L80" s="41"/>
      <c r="M80" s="38"/>
      <c r="N80" s="9"/>
      <c r="O80" s="38"/>
      <c r="P80" s="44"/>
      <c r="Q80" s="38"/>
      <c r="R80" s="44"/>
      <c r="S80" s="38"/>
    </row>
    <row r="81">
      <c r="A81" s="4"/>
      <c r="B81" s="39"/>
      <c r="C81" s="41"/>
      <c r="D81" s="10"/>
      <c r="E81" s="38"/>
      <c r="F81" s="41"/>
      <c r="G81" s="9"/>
      <c r="H81" s="41"/>
      <c r="I81" s="38"/>
      <c r="J81" s="32"/>
      <c r="K81" s="38"/>
      <c r="L81" s="41"/>
      <c r="M81" s="38"/>
      <c r="N81" s="9"/>
      <c r="O81" s="38"/>
      <c r="P81" s="44"/>
      <c r="Q81" s="38"/>
      <c r="R81" s="44"/>
      <c r="S81" s="38"/>
    </row>
    <row r="82">
      <c r="A82" s="4"/>
      <c r="B82" s="39"/>
      <c r="C82" s="41"/>
      <c r="D82" s="10"/>
      <c r="E82" s="38"/>
      <c r="F82" s="41"/>
      <c r="G82" s="9"/>
      <c r="H82" s="41"/>
      <c r="I82" s="38"/>
      <c r="J82" s="32"/>
      <c r="K82" s="38"/>
      <c r="L82" s="41"/>
      <c r="M82" s="38"/>
      <c r="N82" s="9"/>
      <c r="O82" s="38"/>
      <c r="P82" s="44"/>
      <c r="Q82" s="38"/>
      <c r="R82" s="44"/>
      <c r="S82" s="38"/>
    </row>
    <row r="83">
      <c r="A83" s="4"/>
      <c r="B83" s="39"/>
      <c r="C83" s="41"/>
      <c r="D83" s="10"/>
      <c r="E83" s="38"/>
      <c r="F83" s="41"/>
      <c r="G83" s="9"/>
      <c r="H83" s="41"/>
      <c r="I83" s="38"/>
      <c r="J83" s="32"/>
      <c r="K83" s="38"/>
      <c r="L83" s="41"/>
      <c r="M83" s="38"/>
      <c r="N83" s="9"/>
      <c r="O83" s="38"/>
      <c r="P83" s="44"/>
      <c r="Q83" s="38"/>
      <c r="R83" s="44"/>
      <c r="S83" s="38"/>
    </row>
    <row r="84">
      <c r="A84" s="4"/>
      <c r="B84" s="39"/>
      <c r="C84" s="41"/>
      <c r="D84" s="10"/>
      <c r="E84" s="38"/>
      <c r="F84" s="41"/>
      <c r="G84" s="9"/>
      <c r="H84" s="41"/>
      <c r="I84" s="38"/>
      <c r="J84" s="32"/>
      <c r="K84" s="38"/>
      <c r="L84" s="41"/>
      <c r="M84" s="38"/>
      <c r="N84" s="9"/>
      <c r="O84" s="38"/>
      <c r="P84" s="44"/>
      <c r="Q84" s="38"/>
      <c r="R84" s="44"/>
      <c r="S84" s="38"/>
    </row>
    <row r="85">
      <c r="A85" s="4"/>
      <c r="B85" s="39"/>
      <c r="C85" s="41"/>
      <c r="D85" s="10"/>
      <c r="E85" s="38"/>
      <c r="F85" s="41"/>
      <c r="G85" s="9"/>
      <c r="H85" s="41"/>
      <c r="I85" s="38"/>
      <c r="J85" s="32"/>
      <c r="K85" s="38"/>
      <c r="L85" s="41"/>
      <c r="M85" s="38"/>
      <c r="N85" s="9"/>
      <c r="O85" s="38"/>
      <c r="P85" s="44"/>
      <c r="Q85" s="38"/>
      <c r="R85" s="44"/>
      <c r="S85" s="38"/>
    </row>
    <row r="86">
      <c r="A86" s="4"/>
      <c r="B86" s="39"/>
      <c r="C86" s="41"/>
      <c r="D86" s="10"/>
      <c r="E86" s="38"/>
      <c r="F86" s="41"/>
      <c r="G86" s="9"/>
      <c r="H86" s="41"/>
      <c r="I86" s="38"/>
      <c r="J86" s="32"/>
      <c r="K86" s="38"/>
      <c r="L86" s="41"/>
      <c r="M86" s="38"/>
      <c r="N86" s="9"/>
      <c r="O86" s="38"/>
      <c r="P86" s="44"/>
      <c r="Q86" s="38"/>
      <c r="R86" s="44"/>
      <c r="S86" s="38"/>
    </row>
    <row r="87">
      <c r="A87" s="4"/>
      <c r="B87" s="39"/>
      <c r="C87" s="41"/>
      <c r="D87" s="10"/>
      <c r="E87" s="15"/>
      <c r="F87" s="41"/>
      <c r="G87" s="9"/>
      <c r="H87" s="41"/>
    </row>
    <row r="88">
      <c r="A88" s="4"/>
      <c r="B88" s="39"/>
      <c r="C88" s="41"/>
      <c r="D88" s="10"/>
      <c r="E88" s="15"/>
      <c r="F88" s="41"/>
      <c r="G88" s="9"/>
      <c r="H88" s="41"/>
    </row>
    <row r="89">
      <c r="A89" s="4"/>
      <c r="B89" s="39"/>
      <c r="C89" s="41"/>
      <c r="D89" s="10"/>
      <c r="E89" s="15"/>
      <c r="F89" s="41"/>
      <c r="G89" s="9"/>
      <c r="H89" s="41"/>
    </row>
    <row r="90">
      <c r="A90" s="4"/>
      <c r="B90" s="39"/>
      <c r="C90" s="41"/>
      <c r="D90" s="10"/>
      <c r="E90" s="15"/>
      <c r="F90" s="41"/>
      <c r="G90" s="9"/>
      <c r="H90" s="41"/>
    </row>
    <row r="91">
      <c r="A91" s="4"/>
      <c r="B91" s="39"/>
      <c r="C91" s="41"/>
      <c r="D91" s="10"/>
      <c r="E91" s="15"/>
      <c r="F91" s="41"/>
      <c r="G91" s="9"/>
      <c r="H91" s="41"/>
    </row>
    <row r="92">
      <c r="A92" s="4"/>
      <c r="B92" s="39"/>
      <c r="C92" s="41"/>
      <c r="D92" s="10"/>
      <c r="E92" s="15"/>
      <c r="F92" s="41"/>
      <c r="G92" s="9"/>
      <c r="H92" s="41"/>
    </row>
    <row r="93">
      <c r="A93" s="4"/>
      <c r="B93" s="39"/>
      <c r="C93" s="41"/>
      <c r="D93" s="10"/>
      <c r="E93" s="15"/>
      <c r="F93" s="41"/>
      <c r="G93" s="9"/>
      <c r="H93" s="41"/>
    </row>
    <row r="94">
      <c r="A94" s="4"/>
      <c r="B94" s="39"/>
      <c r="C94" s="41"/>
      <c r="D94" s="10"/>
      <c r="E94" s="15"/>
      <c r="F94" s="41"/>
      <c r="G94" s="9"/>
      <c r="H94" s="41"/>
    </row>
    <row r="95">
      <c r="A95" s="4"/>
      <c r="B95" s="39"/>
      <c r="C95" s="41"/>
      <c r="D95" s="10"/>
      <c r="E95" s="15"/>
      <c r="F95" s="41"/>
      <c r="G95" s="9"/>
      <c r="H95" s="41"/>
    </row>
    <row r="96">
      <c r="A96" s="4"/>
      <c r="B96" s="39"/>
      <c r="C96" s="41"/>
      <c r="D96" s="10"/>
      <c r="E96" s="15"/>
      <c r="F96" s="41"/>
      <c r="G96" s="9"/>
      <c r="H96" s="41"/>
    </row>
    <row r="97">
      <c r="A97" s="4"/>
      <c r="B97" s="39"/>
      <c r="C97" s="41"/>
      <c r="D97" s="10"/>
      <c r="E97" s="15"/>
      <c r="F97" s="41"/>
      <c r="G97" s="9"/>
      <c r="H97" s="41"/>
    </row>
    <row r="98">
      <c r="A98" s="4"/>
      <c r="B98" s="39"/>
      <c r="C98" s="41"/>
      <c r="D98" s="10"/>
      <c r="E98" s="15"/>
      <c r="F98" s="41"/>
      <c r="G98" s="9"/>
      <c r="H98" s="41"/>
    </row>
    <row r="99">
      <c r="A99" s="4"/>
      <c r="B99" s="39"/>
      <c r="C99" s="41"/>
      <c r="D99" s="10"/>
      <c r="E99" s="15"/>
      <c r="F99" s="41"/>
      <c r="G99" s="9"/>
      <c r="H99" s="41"/>
    </row>
    <row r="100">
      <c r="A100" s="4"/>
      <c r="B100" s="39"/>
      <c r="C100" s="41"/>
      <c r="D100" s="10"/>
      <c r="E100" s="15"/>
      <c r="F100" s="41"/>
      <c r="G100" s="9"/>
      <c r="H100" s="41"/>
    </row>
    <row r="101">
      <c r="A101" s="4"/>
      <c r="B101" s="39"/>
      <c r="C101" s="41"/>
      <c r="D101" s="10"/>
      <c r="E101" s="15"/>
      <c r="F101" s="41"/>
      <c r="G101" s="9"/>
      <c r="H101" s="41"/>
    </row>
    <row r="102">
      <c r="A102" s="4"/>
      <c r="B102" s="39"/>
      <c r="C102" s="41"/>
      <c r="D102" s="10"/>
      <c r="E102" s="15"/>
      <c r="F102" s="41"/>
      <c r="G102" s="9"/>
      <c r="H102" s="41"/>
    </row>
    <row r="103">
      <c r="A103" s="4"/>
      <c r="B103" s="39"/>
      <c r="C103" s="41"/>
      <c r="D103" s="10"/>
      <c r="E103" s="15"/>
      <c r="F103" s="41"/>
      <c r="G103" s="9"/>
      <c r="H103" s="41"/>
    </row>
    <row r="104">
      <c r="A104" s="4"/>
      <c r="B104" s="39"/>
      <c r="C104" s="41"/>
      <c r="D104" s="10"/>
      <c r="E104" s="15"/>
      <c r="F104" s="41"/>
      <c r="G104" s="9"/>
      <c r="H104" s="41"/>
    </row>
    <row r="105">
      <c r="A105" s="4"/>
      <c r="B105" s="39"/>
      <c r="C105" s="41"/>
      <c r="D105" s="10"/>
      <c r="E105" s="15"/>
      <c r="F105" s="41"/>
      <c r="G105" s="9"/>
      <c r="H105" s="41"/>
    </row>
    <row r="106">
      <c r="A106" s="4"/>
      <c r="B106" s="39"/>
      <c r="C106" s="41"/>
      <c r="D106" s="10"/>
      <c r="E106" s="15"/>
      <c r="F106" s="41"/>
      <c r="G106" s="9"/>
      <c r="H106" s="41"/>
    </row>
    <row r="107">
      <c r="A107" s="4"/>
      <c r="B107" s="39"/>
      <c r="C107" s="41"/>
      <c r="D107" s="10"/>
      <c r="E107" s="15"/>
      <c r="F107" s="41"/>
      <c r="G107" s="9"/>
      <c r="H107" s="41"/>
    </row>
    <row r="108">
      <c r="A108" s="4"/>
      <c r="B108" s="39"/>
      <c r="C108" s="41"/>
      <c r="D108" s="10"/>
      <c r="E108" s="15"/>
      <c r="F108" s="41"/>
      <c r="G108" s="9"/>
      <c r="H108" s="41"/>
    </row>
    <row r="109">
      <c r="A109" s="4"/>
      <c r="B109" s="39"/>
      <c r="C109" s="41"/>
      <c r="D109" s="10"/>
      <c r="E109" s="15"/>
      <c r="F109" s="41"/>
      <c r="G109" s="9"/>
      <c r="H109" s="41"/>
    </row>
    <row r="110">
      <c r="A110" s="4"/>
      <c r="B110" s="39"/>
      <c r="C110" s="41"/>
      <c r="D110" s="10"/>
      <c r="E110" s="15"/>
      <c r="F110" s="41"/>
      <c r="G110" s="9"/>
      <c r="H110" s="41"/>
    </row>
    <row r="111">
      <c r="A111" s="4"/>
      <c r="B111" s="39"/>
      <c r="C111" s="41"/>
      <c r="D111" s="10"/>
      <c r="E111" s="15"/>
      <c r="F111" s="41"/>
      <c r="G111" s="9"/>
      <c r="H111" s="41"/>
    </row>
    <row r="112">
      <c r="A112" s="4"/>
      <c r="B112" s="39"/>
      <c r="C112" s="41"/>
      <c r="D112" s="10"/>
      <c r="E112" s="15"/>
      <c r="F112" s="41"/>
      <c r="G112" s="9"/>
      <c r="H112" s="41"/>
    </row>
    <row r="113">
      <c r="A113" s="4"/>
      <c r="B113" s="39"/>
      <c r="C113" s="41"/>
      <c r="D113" s="10"/>
      <c r="E113" s="15"/>
      <c r="F113" s="41"/>
      <c r="G113" s="9"/>
      <c r="H113" s="41"/>
    </row>
    <row r="114">
      <c r="A114" s="4"/>
      <c r="B114" s="39"/>
      <c r="C114" s="41"/>
      <c r="D114" s="10"/>
      <c r="E114" s="15"/>
      <c r="F114" s="41"/>
      <c r="G114" s="9"/>
      <c r="H114" s="41"/>
    </row>
    <row r="115">
      <c r="A115" s="4"/>
      <c r="B115" s="39"/>
      <c r="C115" s="41"/>
      <c r="D115" s="10"/>
      <c r="E115" s="15"/>
      <c r="F115" s="41"/>
      <c r="G115" s="9"/>
      <c r="H115" s="41"/>
    </row>
    <row r="116">
      <c r="A116" s="4"/>
      <c r="B116" s="39"/>
      <c r="C116" s="41"/>
      <c r="D116" s="10"/>
      <c r="E116" s="15"/>
      <c r="F116" s="41"/>
      <c r="G116" s="9"/>
      <c r="H116" s="41"/>
    </row>
    <row r="117">
      <c r="A117" s="4"/>
      <c r="B117" s="39"/>
      <c r="C117" s="41"/>
      <c r="D117" s="10"/>
      <c r="E117" s="15"/>
      <c r="F117" s="41"/>
      <c r="G117" s="9"/>
      <c r="H117" s="41"/>
    </row>
    <row r="118">
      <c r="A118" s="4"/>
      <c r="B118" s="39"/>
      <c r="C118" s="41"/>
      <c r="D118" s="10"/>
      <c r="E118" s="15"/>
      <c r="F118" s="41"/>
      <c r="G118" s="9"/>
      <c r="H118" s="41"/>
    </row>
    <row r="119">
      <c r="A119" s="4"/>
      <c r="B119" s="39"/>
      <c r="C119" s="41"/>
      <c r="D119" s="10"/>
      <c r="E119" s="15"/>
      <c r="F119" s="41"/>
      <c r="G119" s="9"/>
      <c r="H119" s="41"/>
    </row>
    <row r="120">
      <c r="A120" s="4"/>
      <c r="B120" s="39"/>
      <c r="C120" s="41"/>
      <c r="D120" s="10"/>
      <c r="E120" s="15"/>
      <c r="F120" s="41"/>
      <c r="G120" s="9"/>
      <c r="H120" s="41"/>
    </row>
    <row r="121">
      <c r="A121" s="4"/>
      <c r="B121" s="39"/>
      <c r="C121" s="41"/>
      <c r="D121" s="10"/>
      <c r="E121" s="15"/>
      <c r="F121" s="41"/>
      <c r="G121" s="9"/>
      <c r="H121" s="41"/>
    </row>
    <row r="122">
      <c r="A122" s="4"/>
      <c r="B122" s="39"/>
      <c r="C122" s="41"/>
      <c r="D122" s="10"/>
      <c r="E122" s="15"/>
      <c r="F122" s="41"/>
      <c r="G122" s="9"/>
      <c r="H122" s="41"/>
    </row>
    <row r="123">
      <c r="A123" s="4"/>
      <c r="B123" s="39"/>
      <c r="C123" s="41"/>
      <c r="D123" s="10"/>
      <c r="E123" s="15"/>
      <c r="F123" s="41"/>
      <c r="G123" s="9"/>
      <c r="H123" s="41"/>
    </row>
    <row r="124">
      <c r="A124" s="4"/>
      <c r="B124" s="39"/>
      <c r="C124" s="41"/>
      <c r="D124" s="10"/>
      <c r="E124" s="15"/>
      <c r="F124" s="41"/>
      <c r="G124" s="9"/>
      <c r="H124" s="41"/>
    </row>
    <row r="125">
      <c r="A125" s="4"/>
      <c r="B125" s="39"/>
      <c r="C125" s="41"/>
      <c r="D125" s="10"/>
      <c r="E125" s="15"/>
      <c r="F125" s="41"/>
      <c r="G125" s="9"/>
      <c r="H125" s="41"/>
    </row>
    <row r="126">
      <c r="A126" s="4"/>
      <c r="B126" s="39"/>
      <c r="C126" s="41"/>
      <c r="D126" s="10"/>
      <c r="E126" s="15"/>
      <c r="F126" s="41"/>
      <c r="G126" s="9"/>
      <c r="H126" s="41"/>
    </row>
    <row r="127">
      <c r="A127" s="4"/>
      <c r="B127" s="39"/>
      <c r="C127" s="41"/>
      <c r="D127" s="10"/>
      <c r="E127" s="15"/>
      <c r="F127" s="41"/>
      <c r="G127" s="9"/>
      <c r="H127" s="41"/>
    </row>
    <row r="128">
      <c r="A128" s="4"/>
      <c r="B128" s="39"/>
      <c r="C128" s="41"/>
      <c r="D128" s="10"/>
      <c r="E128" s="15"/>
      <c r="F128" s="41"/>
      <c r="G128" s="9"/>
      <c r="H128" s="41"/>
    </row>
    <row r="129">
      <c r="A129" s="4"/>
      <c r="B129" s="39"/>
      <c r="C129" s="41"/>
      <c r="D129" s="10"/>
      <c r="E129" s="15"/>
      <c r="F129" s="41"/>
      <c r="G129" s="9"/>
      <c r="H129" s="41"/>
    </row>
    <row r="130">
      <c r="C130" s="15"/>
      <c r="E130" s="15"/>
    </row>
    <row r="131">
      <c r="C131" s="15"/>
      <c r="E131" s="15"/>
    </row>
    <row r="132">
      <c r="C132" s="15"/>
      <c r="E132" s="15"/>
    </row>
    <row r="133">
      <c r="C133" s="15"/>
      <c r="E133" s="15"/>
    </row>
    <row r="134">
      <c r="C134" s="15"/>
      <c r="E134" s="15"/>
    </row>
    <row r="135">
      <c r="C135" s="15"/>
      <c r="E135" s="15"/>
    </row>
  </sheetData>
  <mergeCells count="2">
    <mergeCell ref="C2:D2"/>
    <mergeCell ref="E2:I2"/>
  </mergeCells>
  <conditionalFormatting sqref="L6:L66 N6:N66 Y6:AA66 AC6:AC66 J65:K66">
    <cfRule type="cellIs" dxfId="0" priority="1" operator="lessThan">
      <formula>0</formula>
    </cfRule>
  </conditionalFormatting>
  <conditionalFormatting sqref="I6:I66 X6:X66 N69:N86">
    <cfRule type="cellIs" dxfId="0" priority="2" operator="lessThan">
      <formula>0</formula>
    </cfRule>
  </conditionalFormatting>
  <conditionalFormatting sqref="J4:L64">
    <cfRule type="cellIs" dxfId="0" priority="3" operator="lessThan">
      <formula>0</formula>
    </cfRule>
  </conditionalFormatting>
  <conditionalFormatting sqref="J4:L64">
    <cfRule type="cellIs" dxfId="1" priority="4" operator="greaterThanOrEqual">
      <formula>0</formula>
    </cfRule>
  </conditionalFormatting>
  <drawing r:id="rId1"/>
</worksheet>
</file>